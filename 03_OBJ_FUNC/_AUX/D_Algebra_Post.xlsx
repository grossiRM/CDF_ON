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c04_CFD\CFD_GIT\104_Py\_AUX\"/>
    </mc:Choice>
  </mc:AlternateContent>
  <xr:revisionPtr revIDLastSave="0" documentId="13_ncr:1_{5FFE231B-FEC0-486B-B8F6-01264DD5E119}" xr6:coauthVersionLast="47" xr6:coauthVersionMax="47" xr10:uidLastSave="{00000000-0000-0000-0000-000000000000}"/>
  <bookViews>
    <workbookView xWindow="-120" yWindow="-120" windowWidth="29040" windowHeight="16440" xr2:uid="{5446CEAE-82CE-482C-B414-F94D7F4AC71D}"/>
  </bookViews>
  <sheets>
    <sheet name="C" sheetId="1" r:id="rId1"/>
  </sheets>
  <externalReferences>
    <externalReference r:id="rId2"/>
    <externalReference r:id="rId3"/>
    <externalReference r:id="rId4"/>
  </externalReferences>
  <definedNames>
    <definedName name="a">[1]!Tab.711[#Headers]</definedName>
    <definedName name="aq">#REF!</definedName>
    <definedName name="AV">#REF!</definedName>
    <definedName name="Coord">#REF!</definedName>
    <definedName name="I">#REF!</definedName>
    <definedName name="Mean_A">'[2]Discrete distribution'!$B$30</definedName>
    <definedName name="mean_X">#REF!</definedName>
    <definedName name="mean_X.">#REF!</definedName>
    <definedName name="mean_Y">#REF!</definedName>
    <definedName name="mean_Y.">#REF!</definedName>
    <definedName name="mu">'[2]Normal distribution'!$B$8</definedName>
    <definedName name="mu_A">[2]portfolio!$C$3</definedName>
    <definedName name="mu_B">[2]portfolio!$C$4</definedName>
    <definedName name="P1_A">'[2]Discrete distribution'!$C$4</definedName>
    <definedName name="P2_A">'[2]Discrete distribution'!$C$5</definedName>
    <definedName name="P3_A">'[2]Discrete distribution'!$C$6</definedName>
    <definedName name="P4_A">'[2]Discrete distribution'!$C$7</definedName>
    <definedName name="P5_A">'[2]Discrete distribution'!$C$8</definedName>
    <definedName name="Rot">#REF!</definedName>
    <definedName name="SD_A">'[2]Discrete distribution'!$B$32</definedName>
    <definedName name="SD_X">#REF!</definedName>
    <definedName name="SD_Y">#REF!</definedName>
    <definedName name="sigma">'[2]Normal distribution'!$C$8</definedName>
    <definedName name="sigma_AB">[2]portfolio!$F$3</definedName>
    <definedName name="sigma2_A">[2]portfolio!$D$3</definedName>
    <definedName name="sigma2_B">[2]portfolio!$D$4</definedName>
    <definedName name="Variance_A">'[2]Discrete distribution'!$B$31</definedName>
    <definedName name="X">#REF!</definedName>
    <definedName name="x_A">[2]portfolio!$C$9</definedName>
    <definedName name="x_B">[2]portfolio!$C$10</definedName>
    <definedName name="Xo" localSheetId="0">[3]A!#REF!</definedName>
    <definedName name="Xo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" i="1" l="1"/>
  <c r="M26" i="1" a="1"/>
  <c r="M26" i="1" s="1"/>
  <c r="P26" i="1"/>
  <c r="Q26" i="1"/>
  <c r="R26" i="1"/>
  <c r="S26" i="1"/>
  <c r="T26" i="1"/>
  <c r="U26" i="1"/>
  <c r="M25" i="1" a="1"/>
  <c r="P25" i="1" s="1"/>
  <c r="O22" i="1"/>
  <c r="P22" i="1" s="1"/>
  <c r="N22" i="1"/>
  <c r="I32" i="1"/>
  <c r="D32" i="1"/>
  <c r="M31" i="1"/>
  <c r="I31" i="1"/>
  <c r="D31" i="1"/>
  <c r="K30" i="1"/>
  <c r="K31" i="1" s="1"/>
  <c r="K32" i="1" s="1"/>
  <c r="K33" i="1" s="1"/>
  <c r="K34" i="1" s="1"/>
  <c r="K35" i="1" s="1"/>
  <c r="K36" i="1" s="1"/>
  <c r="K37" i="1" s="1"/>
  <c r="K38" i="1" s="1"/>
  <c r="K39" i="1" s="1"/>
  <c r="I30" i="1"/>
  <c r="D30" i="1"/>
  <c r="I29" i="1"/>
  <c r="D29" i="1"/>
  <c r="M13" i="1" s="1"/>
  <c r="I28" i="1"/>
  <c r="D28" i="1"/>
  <c r="I27" i="1"/>
  <c r="D27" i="1"/>
  <c r="I26" i="1"/>
  <c r="D26" i="1"/>
  <c r="L25" i="1"/>
  <c r="I25" i="1"/>
  <c r="D25" i="1"/>
  <c r="I24" i="1"/>
  <c r="D24" i="1"/>
  <c r="I23" i="1"/>
  <c r="D23" i="1"/>
  <c r="I22" i="1"/>
  <c r="D22" i="1"/>
  <c r="AH16" i="1"/>
  <c r="M16" i="1"/>
  <c r="L16" i="1"/>
  <c r="K16" i="1"/>
  <c r="H16" i="1"/>
  <c r="G16" i="1"/>
  <c r="F16" i="1"/>
  <c r="AG15" i="1"/>
  <c r="M15" i="1"/>
  <c r="N38" i="1" s="1"/>
  <c r="L15" i="1"/>
  <c r="M38" i="1" s="1"/>
  <c r="K15" i="1"/>
  <c r="L38" i="1" s="1"/>
  <c r="H15" i="1"/>
  <c r="G15" i="1"/>
  <c r="F15" i="1"/>
  <c r="AF14" i="1"/>
  <c r="M14" i="1"/>
  <c r="L14" i="1"/>
  <c r="K14" i="1"/>
  <c r="H14" i="1"/>
  <c r="G14" i="1"/>
  <c r="F14" i="1"/>
  <c r="L13" i="1"/>
  <c r="K13" i="1"/>
  <c r="H13" i="1"/>
  <c r="G13" i="1"/>
  <c r="F13" i="1"/>
  <c r="M12" i="1"/>
  <c r="N35" i="1" s="1"/>
  <c r="L12" i="1"/>
  <c r="M35" i="1" s="1"/>
  <c r="K12" i="1"/>
  <c r="H12" i="1"/>
  <c r="G12" i="1"/>
  <c r="F12" i="1"/>
  <c r="M11" i="1"/>
  <c r="L11" i="1"/>
  <c r="K11" i="1"/>
  <c r="H11" i="1"/>
  <c r="G11" i="1"/>
  <c r="F11" i="1"/>
  <c r="M10" i="1"/>
  <c r="L10" i="1"/>
  <c r="K10" i="1"/>
  <c r="H10" i="1"/>
  <c r="G10" i="1"/>
  <c r="F10" i="1"/>
  <c r="M9" i="1"/>
  <c r="N32" i="1" s="1"/>
  <c r="L9" i="1"/>
  <c r="K9" i="1"/>
  <c r="H9" i="1"/>
  <c r="G9" i="1"/>
  <c r="F9" i="1"/>
  <c r="M8" i="1"/>
  <c r="L8" i="1"/>
  <c r="K8" i="1"/>
  <c r="L31" i="1" s="1"/>
  <c r="H8" i="1"/>
  <c r="G8" i="1"/>
  <c r="F8" i="1"/>
  <c r="M7" i="1"/>
  <c r="L7" i="1"/>
  <c r="K7" i="1"/>
  <c r="H7" i="1"/>
  <c r="G7" i="1"/>
  <c r="F7" i="1"/>
  <c r="AA6" i="1" a="1"/>
  <c r="AA7" i="1" s="1"/>
  <c r="M6" i="1"/>
  <c r="L6" i="1"/>
  <c r="P17" i="1" s="1"/>
  <c r="K6" i="1"/>
  <c r="H6" i="1"/>
  <c r="G6" i="1"/>
  <c r="F6" i="1"/>
  <c r="D4" i="1"/>
  <c r="D3" i="1"/>
  <c r="G2" i="1"/>
  <c r="F2" i="1"/>
  <c r="AH1" i="1"/>
  <c r="O26" i="1" l="1"/>
  <c r="N26" i="1"/>
  <c r="O25" i="1"/>
  <c r="U25" i="1"/>
  <c r="T25" i="1"/>
  <c r="S25" i="1"/>
  <c r="Q25" i="1"/>
  <c r="N25" i="1"/>
  <c r="M25" i="1"/>
  <c r="R25" i="1"/>
  <c r="Q22" i="1"/>
  <c r="R22" i="1" s="1"/>
  <c r="S22" i="1" s="1"/>
  <c r="T22" i="1" s="1"/>
  <c r="U22" i="1" s="1"/>
  <c r="H4" i="1"/>
  <c r="T9" i="1"/>
  <c r="T7" i="1"/>
  <c r="N36" i="1"/>
  <c r="P10" i="1"/>
  <c r="P13" i="1"/>
  <c r="T14" i="1"/>
  <c r="T16" i="1"/>
  <c r="Q34" i="1"/>
  <c r="P6" i="1"/>
  <c r="T8" i="1"/>
  <c r="T12" i="1"/>
  <c r="T15" i="1"/>
  <c r="P14" i="1"/>
  <c r="P12" i="1"/>
  <c r="T11" i="1"/>
  <c r="T6" i="1"/>
  <c r="P15" i="1"/>
  <c r="P11" i="1"/>
  <c r="P8" i="1"/>
  <c r="Q31" i="1"/>
  <c r="R33" i="1"/>
  <c r="L30" i="1"/>
  <c r="N31" i="1"/>
  <c r="Q32" i="1"/>
  <c r="L34" i="1"/>
  <c r="Q35" i="1"/>
  <c r="L37" i="1"/>
  <c r="Q38" i="1"/>
  <c r="T10" i="1"/>
  <c r="T13" i="1"/>
  <c r="M30" i="1"/>
  <c r="M34" i="1"/>
  <c r="R35" i="1"/>
  <c r="M37" i="1"/>
  <c r="R38" i="1"/>
  <c r="W6" i="1"/>
  <c r="L29" i="1"/>
  <c r="N30" i="1"/>
  <c r="N34" i="1"/>
  <c r="N37" i="1"/>
  <c r="W10" i="1"/>
  <c r="M29" i="1"/>
  <c r="N29" i="1"/>
  <c r="Q30" i="1"/>
  <c r="L33" i="1"/>
  <c r="L36" i="1"/>
  <c r="Q37" i="1"/>
  <c r="L39" i="1"/>
  <c r="U15" i="1"/>
  <c r="P29" i="1"/>
  <c r="R30" i="1"/>
  <c r="M33" i="1"/>
  <c r="M36" i="1"/>
  <c r="M39" i="1"/>
  <c r="AA6" i="1"/>
  <c r="W15" i="1"/>
  <c r="Q29" i="1"/>
  <c r="N33" i="1"/>
  <c r="N39" i="1"/>
  <c r="P7" i="1"/>
  <c r="P16" i="1"/>
  <c r="O17" i="1"/>
  <c r="W14" i="1" s="1"/>
  <c r="R29" i="1"/>
  <c r="P36" i="1"/>
  <c r="O6" i="1"/>
  <c r="AA8" i="1"/>
  <c r="L32" i="1"/>
  <c r="Q33" i="1"/>
  <c r="L35" i="1"/>
  <c r="Q36" i="1"/>
  <c r="Q39" i="1"/>
  <c r="O10" i="1"/>
  <c r="O13" i="1"/>
  <c r="Q17" i="1"/>
  <c r="R34" i="1" s="1"/>
  <c r="M32" i="1"/>
  <c r="P9" i="1"/>
  <c r="P39" i="1" l="1"/>
  <c r="O16" i="1"/>
  <c r="S31" i="1"/>
  <c r="S38" i="1"/>
  <c r="U14" i="1"/>
  <c r="U13" i="1"/>
  <c r="Q18" i="1"/>
  <c r="M20" i="1"/>
  <c r="S33" i="1"/>
  <c r="S29" i="1"/>
  <c r="Q7" i="1"/>
  <c r="Q13" i="1"/>
  <c r="O9" i="1"/>
  <c r="Q14" i="1"/>
  <c r="P37" i="1"/>
  <c r="S32" i="1"/>
  <c r="R32" i="1"/>
  <c r="R36" i="1"/>
  <c r="S12" i="1"/>
  <c r="W8" i="1"/>
  <c r="Q12" i="1"/>
  <c r="P34" i="1"/>
  <c r="P31" i="1"/>
  <c r="S36" i="1"/>
  <c r="U8" i="1"/>
  <c r="O7" i="1"/>
  <c r="Q4" i="1" s="1"/>
  <c r="U11" i="1"/>
  <c r="K20" i="1"/>
  <c r="O18" i="1"/>
  <c r="S34" i="1"/>
  <c r="T18" i="1"/>
  <c r="T20" i="1"/>
  <c r="W12" i="1"/>
  <c r="P33" i="1"/>
  <c r="P30" i="1"/>
  <c r="Q15" i="1"/>
  <c r="S9" i="1"/>
  <c r="S39" i="1"/>
  <c r="S6" i="1"/>
  <c r="W11" i="1"/>
  <c r="P32" i="1"/>
  <c r="S15" i="1"/>
  <c r="W13" i="1"/>
  <c r="S11" i="1"/>
  <c r="S8" i="1"/>
  <c r="S13" i="1"/>
  <c r="O11" i="1"/>
  <c r="W9" i="1"/>
  <c r="O8" i="1"/>
  <c r="P38" i="1"/>
  <c r="S10" i="1"/>
  <c r="W7" i="1"/>
  <c r="W18" i="1" s="1"/>
  <c r="P35" i="1"/>
  <c r="W16" i="1"/>
  <c r="O15" i="1"/>
  <c r="U12" i="1"/>
  <c r="S37" i="1"/>
  <c r="L20" i="1"/>
  <c r="P18" i="1"/>
  <c r="Q11" i="1"/>
  <c r="S7" i="1"/>
  <c r="Q6" i="1"/>
  <c r="Q5" i="1" s="1"/>
  <c r="S14" i="1"/>
  <c r="X14" i="1"/>
  <c r="X12" i="1"/>
  <c r="Y15" i="1"/>
  <c r="Y11" i="1"/>
  <c r="Y8" i="1"/>
  <c r="X15" i="1"/>
  <c r="X11" i="1"/>
  <c r="X8" i="1"/>
  <c r="Y6" i="1"/>
  <c r="Q10" i="1"/>
  <c r="Y13" i="1"/>
  <c r="Y10" i="1"/>
  <c r="X13" i="1"/>
  <c r="X10" i="1"/>
  <c r="X6" i="1"/>
  <c r="U16" i="1"/>
  <c r="Y16" i="1"/>
  <c r="Y9" i="1"/>
  <c r="Y7" i="1"/>
  <c r="Y14" i="1"/>
  <c r="X16" i="1"/>
  <c r="X9" i="1"/>
  <c r="X7" i="1"/>
  <c r="Y12" i="1"/>
  <c r="U9" i="1"/>
  <c r="U7" i="1"/>
  <c r="Q9" i="1"/>
  <c r="R37" i="1"/>
  <c r="O14" i="1"/>
  <c r="U10" i="1"/>
  <c r="U6" i="1"/>
  <c r="S35" i="1"/>
  <c r="R31" i="1"/>
  <c r="Q16" i="1"/>
  <c r="S16" i="1"/>
  <c r="S30" i="1"/>
  <c r="O12" i="1"/>
  <c r="Q8" i="1"/>
  <c r="R39" i="1"/>
  <c r="AH14" i="1" l="1"/>
  <c r="AG14" i="1"/>
  <c r="AC6" i="1" s="1"/>
  <c r="AH15" i="1"/>
  <c r="AF15" i="1"/>
  <c r="AB7" i="1" s="1"/>
  <c r="AG16" i="1"/>
  <c r="AC8" i="1" s="1"/>
  <c r="AF16" i="1"/>
  <c r="S18" i="1"/>
  <c r="S20" i="1"/>
  <c r="Y18" i="1"/>
  <c r="U18" i="1"/>
  <c r="X18" i="1"/>
  <c r="AB17" i="1"/>
  <c r="AC7" i="1"/>
  <c r="AC13" i="1" s="1"/>
  <c r="AB8" i="1" l="1"/>
  <c r="AB18" i="1"/>
  <c r="AC14" i="1" s="1"/>
  <c r="AD8" i="1"/>
  <c r="AD14" i="1" s="1"/>
  <c r="AD7" i="1"/>
  <c r="AD13" i="1" s="1"/>
  <c r="AB6" i="1"/>
  <c r="AB16" i="1"/>
  <c r="AB13" i="1" s="1"/>
  <c r="AD6" i="1"/>
  <c r="AD12" i="1" s="1"/>
  <c r="AB12" i="1" l="1"/>
  <c r="AC12" i="1"/>
  <c r="U20" i="1" s="1"/>
  <c r="AB14" i="1"/>
</calcChain>
</file>

<file path=xl/sharedStrings.xml><?xml version="1.0" encoding="utf-8"?>
<sst xmlns="http://schemas.openxmlformats.org/spreadsheetml/2006/main" count="55" uniqueCount="35">
  <si>
    <t>IN</t>
  </si>
  <si>
    <t>aa</t>
  </si>
  <si>
    <t>bb</t>
  </si>
  <si>
    <t>cc</t>
  </si>
  <si>
    <t>ab</t>
  </si>
  <si>
    <t>ac</t>
  </si>
  <si>
    <t>bc</t>
  </si>
  <si>
    <t>Input A</t>
  </si>
  <si>
    <t>Input B</t>
  </si>
  <si>
    <t>a</t>
  </si>
  <si>
    <t>b</t>
  </si>
  <si>
    <t>c</t>
  </si>
  <si>
    <t>VAR</t>
  </si>
  <si>
    <t>CC</t>
  </si>
  <si>
    <t>aua</t>
  </si>
  <si>
    <r>
      <t>σ</t>
    </r>
    <r>
      <rPr>
        <b/>
        <vertAlign val="subscript"/>
        <sz val="11"/>
        <rFont val="Calibri"/>
        <family val="2"/>
        <scheme val="minor"/>
      </rPr>
      <t>a</t>
    </r>
  </si>
  <si>
    <t>Mean</t>
  </si>
  <si>
    <r>
      <rPr>
        <b/>
        <sz val="13"/>
        <color theme="1"/>
        <rFont val="Calibri"/>
        <family val="2"/>
      </rPr>
      <t>Σ</t>
    </r>
    <r>
      <rPr>
        <b/>
        <sz val="13"/>
        <color theme="1"/>
        <rFont val="Calibri"/>
        <family val="2"/>
        <scheme val="minor"/>
      </rPr>
      <t>a</t>
    </r>
    <r>
      <rPr>
        <b/>
        <vertAlign val="superscript"/>
        <sz val="13"/>
        <color theme="1"/>
        <rFont val="Calibri"/>
        <family val="2"/>
        <scheme val="minor"/>
      </rPr>
      <t>2</t>
    </r>
    <r>
      <rPr>
        <b/>
        <sz val="9"/>
        <color theme="1"/>
        <rFont val="Calibri"/>
        <family val="2"/>
        <scheme val="minor"/>
      </rPr>
      <t>/nº</t>
    </r>
  </si>
  <si>
    <r>
      <rPr>
        <b/>
        <sz val="13"/>
        <color theme="1"/>
        <rFont val="Calibri"/>
        <family val="2"/>
      </rPr>
      <t>Σb</t>
    </r>
    <r>
      <rPr>
        <b/>
        <vertAlign val="superscript"/>
        <sz val="13"/>
        <color theme="1"/>
        <rFont val="Calibri"/>
        <family val="2"/>
        <scheme val="minor"/>
      </rPr>
      <t>2</t>
    </r>
    <r>
      <rPr>
        <b/>
        <sz val="9"/>
        <color theme="1"/>
        <rFont val="Calibri"/>
        <family val="2"/>
        <scheme val="minor"/>
      </rPr>
      <t>/nº</t>
    </r>
  </si>
  <si>
    <t>cov1</t>
  </si>
  <si>
    <t>cov2</t>
  </si>
  <si>
    <t>cov3</t>
  </si>
  <si>
    <r>
      <t>σ</t>
    </r>
    <r>
      <rPr>
        <b/>
        <vertAlign val="subscript"/>
        <sz val="11"/>
        <rFont val="Calibri"/>
        <family val="2"/>
        <scheme val="minor"/>
      </rPr>
      <t>b</t>
    </r>
  </si>
  <si>
    <r>
      <t>Variance</t>
    </r>
    <r>
      <rPr>
        <b/>
        <sz val="13"/>
        <color theme="0" tint="-0.249977111117893"/>
        <rFont val="Calibri"/>
        <family val="2"/>
        <scheme val="minor"/>
      </rPr>
      <t xml:space="preserve"> S</t>
    </r>
  </si>
  <si>
    <r>
      <t>σ</t>
    </r>
    <r>
      <rPr>
        <b/>
        <vertAlign val="subscript"/>
        <sz val="11"/>
        <rFont val="Calibri"/>
        <family val="2"/>
        <scheme val="minor"/>
      </rPr>
      <t>c</t>
    </r>
  </si>
  <si>
    <t>Input C</t>
  </si>
  <si>
    <t>Input D</t>
  </si>
  <si>
    <t>Variance P</t>
  </si>
  <si>
    <t>T</t>
  </si>
  <si>
    <t>aT</t>
  </si>
  <si>
    <t>bT</t>
  </si>
  <si>
    <t>aTa</t>
  </si>
  <si>
    <t>aTb</t>
  </si>
  <si>
    <t>Input 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</si>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</sst>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5"/>
      <color rgb="FF0000FF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b/>
      <sz val="13"/>
      <color theme="1"/>
      <name val="Calibri"/>
      <family val="2"/>
    </font>
    <font>
      <b/>
      <vertAlign val="superscript"/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3"/>
      <color theme="0" tint="-0.14999847407452621"/>
      <name val="Calibri"/>
      <family val="2"/>
      <scheme val="minor"/>
    </font>
    <font>
      <b/>
      <sz val="13"/>
      <color theme="0" tint="-0.249977111117893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DCC5ED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1" fontId="0" fillId="2" borderId="0" xfId="0" applyNumberFormat="1" applyFill="1" applyAlignment="1">
      <alignment horizontal="center" vertical="center"/>
    </xf>
    <xf numFmtId="1" fontId="4" fillId="2" borderId="0" xfId="0" applyNumberFormat="1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right" vertical="center"/>
    </xf>
    <xf numFmtId="1" fontId="3" fillId="3" borderId="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1" fontId="10" fillId="4" borderId="0" xfId="0" applyNumberFormat="1" applyFont="1" applyFill="1" applyAlignment="1">
      <alignment horizontal="center" vertical="center"/>
    </xf>
    <xf numFmtId="1" fontId="11" fillId="5" borderId="4" xfId="0" applyNumberFormat="1" applyFont="1" applyFill="1" applyBorder="1" applyAlignment="1">
      <alignment horizontal="center" vertical="center"/>
    </xf>
    <xf numFmtId="1" fontId="11" fillId="6" borderId="4" xfId="0" applyNumberFormat="1" applyFont="1" applyFill="1" applyBorder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left" vertical="center"/>
    </xf>
    <xf numFmtId="1" fontId="3" fillId="3" borderId="0" xfId="0" applyNumberFormat="1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1" fontId="13" fillId="7" borderId="4" xfId="0" applyNumberFormat="1" applyFont="1" applyFill="1" applyBorder="1" applyAlignment="1">
      <alignment horizontal="center" vertical="center"/>
    </xf>
    <xf numFmtId="1" fontId="13" fillId="7" borderId="3" xfId="0" applyNumberFormat="1" applyFont="1" applyFill="1" applyBorder="1" applyAlignment="1">
      <alignment horizontal="center" vertical="center"/>
    </xf>
    <xf numFmtId="1" fontId="14" fillId="5" borderId="4" xfId="0" applyNumberFormat="1" applyFont="1" applyFill="1" applyBorder="1" applyAlignment="1">
      <alignment horizontal="center" vertical="center"/>
    </xf>
    <xf numFmtId="1" fontId="15" fillId="2" borderId="0" xfId="0" applyNumberFormat="1" applyFont="1" applyFill="1" applyAlignment="1">
      <alignment horizontal="right"/>
    </xf>
    <xf numFmtId="1" fontId="16" fillId="2" borderId="0" xfId="0" applyNumberFormat="1" applyFont="1" applyFill="1" applyAlignment="1">
      <alignment horizontal="right"/>
    </xf>
    <xf numFmtId="1" fontId="17" fillId="2" borderId="0" xfId="0" applyNumberFormat="1" applyFont="1" applyFill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9" fillId="7" borderId="4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" fontId="17" fillId="8" borderId="0" xfId="0" applyNumberFormat="1" applyFont="1" applyFill="1" applyAlignment="1">
      <alignment horizontal="center" vertical="center"/>
    </xf>
    <xf numFmtId="1" fontId="20" fillId="2" borderId="0" xfId="0" applyNumberFormat="1" applyFont="1" applyFill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1" fontId="0" fillId="10" borderId="3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1" fontId="0" fillId="10" borderId="2" xfId="0" applyNumberFormat="1" applyFill="1" applyBorder="1" applyAlignment="1">
      <alignment horizontal="center" vertical="center"/>
    </xf>
    <xf numFmtId="1" fontId="0" fillId="11" borderId="3" xfId="0" applyNumberFormat="1" applyFill="1" applyBorder="1" applyAlignment="1">
      <alignment horizontal="center" vertical="center"/>
    </xf>
    <xf numFmtId="1" fontId="19" fillId="9" borderId="1" xfId="0" applyNumberFormat="1" applyFont="1" applyFill="1" applyBorder="1" applyAlignment="1">
      <alignment horizontal="center" vertical="center"/>
    </xf>
    <xf numFmtId="1" fontId="19" fillId="10" borderId="3" xfId="0" applyNumberFormat="1" applyFont="1" applyFill="1" applyBorder="1" applyAlignment="1">
      <alignment horizontal="center" vertical="center"/>
    </xf>
    <xf numFmtId="1" fontId="11" fillId="11" borderId="3" xfId="0" applyNumberFormat="1" applyFont="1" applyFill="1" applyBorder="1" applyAlignment="1">
      <alignment horizontal="center" vertical="center"/>
    </xf>
    <xf numFmtId="164" fontId="18" fillId="9" borderId="1" xfId="0" applyNumberFormat="1" applyFont="1" applyFill="1" applyBorder="1" applyAlignment="1">
      <alignment horizontal="center" vertical="center"/>
    </xf>
    <xf numFmtId="164" fontId="19" fillId="10" borderId="3" xfId="0" applyNumberFormat="1" applyFont="1" applyFill="1" applyBorder="1" applyAlignment="1">
      <alignment horizontal="center" vertical="center"/>
    </xf>
    <xf numFmtId="1" fontId="19" fillId="11" borderId="5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4" fillId="7" borderId="3" xfId="0" applyNumberFormat="1" applyFont="1" applyFill="1" applyBorder="1" applyAlignment="1">
      <alignment horizontal="center" vertical="center"/>
    </xf>
    <xf numFmtId="164" fontId="21" fillId="11" borderId="5" xfId="0" applyNumberFormat="1" applyFont="1" applyFill="1" applyBorder="1" applyAlignment="1">
      <alignment horizontal="center" vertical="center"/>
    </xf>
    <xf numFmtId="1" fontId="22" fillId="12" borderId="1" xfId="0" applyNumberFormat="1" applyFont="1" applyFill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center" vertical="center"/>
    </xf>
    <xf numFmtId="164" fontId="23" fillId="13" borderId="4" xfId="0" applyNumberFormat="1" applyFont="1" applyFill="1" applyBorder="1" applyAlignment="1">
      <alignment horizontal="center" vertical="center"/>
    </xf>
    <xf numFmtId="164" fontId="23" fillId="13" borderId="2" xfId="0" applyNumberFormat="1" applyFont="1" applyFill="1" applyBorder="1" applyAlignment="1">
      <alignment horizontal="center" vertical="center"/>
    </xf>
    <xf numFmtId="1" fontId="23" fillId="13" borderId="3" xfId="0" applyNumberFormat="1" applyFont="1" applyFill="1" applyBorder="1" applyAlignment="1">
      <alignment horizontal="center" vertical="center"/>
    </xf>
    <xf numFmtId="1" fontId="0" fillId="9" borderId="6" xfId="0" applyNumberFormat="1" applyFill="1" applyBorder="1" applyAlignment="1">
      <alignment horizontal="center" vertical="center"/>
    </xf>
    <xf numFmtId="1" fontId="0" fillId="10" borderId="7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1" fontId="0" fillId="10" borderId="0" xfId="0" applyNumberFormat="1" applyFill="1" applyAlignment="1">
      <alignment horizontal="center" vertical="center"/>
    </xf>
    <xf numFmtId="1" fontId="0" fillId="11" borderId="7" xfId="0" applyNumberFormat="1" applyFill="1" applyBorder="1" applyAlignment="1">
      <alignment horizontal="center" vertical="center"/>
    </xf>
    <xf numFmtId="1" fontId="19" fillId="9" borderId="6" xfId="0" applyNumberFormat="1" applyFont="1" applyFill="1" applyBorder="1" applyAlignment="1">
      <alignment horizontal="center" vertical="center"/>
    </xf>
    <xf numFmtId="1" fontId="19" fillId="10" borderId="7" xfId="0" applyNumberFormat="1" applyFont="1" applyFill="1" applyBorder="1" applyAlignment="1">
      <alignment horizontal="center" vertical="center"/>
    </xf>
    <xf numFmtId="1" fontId="11" fillId="11" borderId="7" xfId="0" applyNumberFormat="1" applyFont="1" applyFill="1" applyBorder="1" applyAlignment="1">
      <alignment horizontal="center" vertical="center"/>
    </xf>
    <xf numFmtId="164" fontId="18" fillId="9" borderId="6" xfId="0" applyNumberFormat="1" applyFont="1" applyFill="1" applyBorder="1" applyAlignment="1">
      <alignment horizontal="center" vertical="center"/>
    </xf>
    <xf numFmtId="164" fontId="19" fillId="10" borderId="7" xfId="0" applyNumberFormat="1" applyFont="1" applyFill="1" applyBorder="1" applyAlignment="1">
      <alignment horizontal="center" vertical="center"/>
    </xf>
    <xf numFmtId="1" fontId="19" fillId="11" borderId="8" xfId="0" applyNumberFormat="1" applyFont="1" applyFill="1" applyBorder="1" applyAlignment="1">
      <alignment horizontal="center" vertical="center"/>
    </xf>
    <xf numFmtId="164" fontId="1" fillId="7" borderId="6" xfId="0" applyNumberFormat="1" applyFont="1" applyFill="1" applyBorder="1" applyAlignment="1">
      <alignment horizontal="center" vertical="center"/>
    </xf>
    <xf numFmtId="164" fontId="14" fillId="7" borderId="7" xfId="0" applyNumberFormat="1" applyFont="1" applyFill="1" applyBorder="1" applyAlignment="1">
      <alignment horizontal="center" vertical="center"/>
    </xf>
    <xf numFmtId="164" fontId="21" fillId="11" borderId="8" xfId="0" applyNumberFormat="1" applyFont="1" applyFill="1" applyBorder="1" applyAlignment="1">
      <alignment horizontal="center" vertical="center"/>
    </xf>
    <xf numFmtId="1" fontId="22" fillId="12" borderId="6" xfId="0" applyNumberFormat="1" applyFont="1" applyFill="1" applyBorder="1" applyAlignment="1">
      <alignment horizontal="center" vertical="center"/>
    </xf>
    <xf numFmtId="1" fontId="22" fillId="0" borderId="6" xfId="0" applyNumberFormat="1" applyFont="1" applyBorder="1" applyAlignment="1">
      <alignment horizontal="center" vertical="center"/>
    </xf>
    <xf numFmtId="1" fontId="22" fillId="0" borderId="7" xfId="0" applyNumberFormat="1" applyFont="1" applyBorder="1" applyAlignment="1">
      <alignment horizontal="center" vertical="center"/>
    </xf>
    <xf numFmtId="164" fontId="24" fillId="13" borderId="6" xfId="0" applyNumberFormat="1" applyFont="1" applyFill="1" applyBorder="1" applyAlignment="1">
      <alignment horizontal="left"/>
    </xf>
    <xf numFmtId="1" fontId="23" fillId="13" borderId="7" xfId="0" applyNumberFormat="1" applyFont="1" applyFill="1" applyBorder="1" applyAlignment="1">
      <alignment horizontal="center" vertical="center"/>
    </xf>
    <xf numFmtId="164" fontId="24" fillId="13" borderId="9" xfId="0" applyNumberFormat="1" applyFont="1" applyFill="1" applyBorder="1" applyAlignment="1">
      <alignment horizontal="left"/>
    </xf>
    <xf numFmtId="164" fontId="24" fillId="13" borderId="10" xfId="0" applyNumberFormat="1" applyFont="1" applyFill="1" applyBorder="1" applyAlignment="1">
      <alignment horizontal="left"/>
    </xf>
    <xf numFmtId="1" fontId="23" fillId="13" borderId="4" xfId="0" applyNumberFormat="1" applyFont="1" applyFill="1" applyBorder="1" applyAlignment="1">
      <alignment horizontal="center" vertical="center"/>
    </xf>
    <xf numFmtId="1" fontId="22" fillId="2" borderId="0" xfId="0" applyNumberFormat="1" applyFont="1" applyFill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5" fillId="12" borderId="2" xfId="0" applyFont="1" applyFill="1" applyBorder="1" applyAlignment="1">
      <alignment horizontal="center" vertical="center"/>
    </xf>
    <xf numFmtId="0" fontId="25" fillId="12" borderId="3" xfId="0" applyFont="1" applyFill="1" applyBorder="1" applyAlignment="1">
      <alignment horizontal="center" vertical="center"/>
    </xf>
    <xf numFmtId="1" fontId="26" fillId="6" borderId="0" xfId="0" applyNumberFormat="1" applyFont="1" applyFill="1" applyAlignment="1">
      <alignment horizontal="center" vertical="center"/>
    </xf>
    <xf numFmtId="1" fontId="27" fillId="2" borderId="0" xfId="0" applyNumberFormat="1" applyFont="1" applyFill="1" applyAlignment="1">
      <alignment horizontal="center" vertical="center"/>
    </xf>
    <xf numFmtId="0" fontId="28" fillId="14" borderId="6" xfId="0" applyFont="1" applyFill="1" applyBorder="1" applyAlignment="1">
      <alignment horizontal="center" vertical="center"/>
    </xf>
    <xf numFmtId="0" fontId="25" fillId="12" borderId="7" xfId="0" applyFont="1" applyFill="1" applyBorder="1" applyAlignment="1">
      <alignment horizontal="center" vertical="center"/>
    </xf>
    <xf numFmtId="1" fontId="11" fillId="13" borderId="4" xfId="0" applyNumberFormat="1" applyFont="1" applyFill="1" applyBorder="1" applyAlignment="1">
      <alignment horizontal="center" vertical="center"/>
    </xf>
    <xf numFmtId="2" fontId="11" fillId="13" borderId="2" xfId="0" applyNumberFormat="1" applyFont="1" applyFill="1" applyBorder="1" applyAlignment="1">
      <alignment horizontal="center" vertical="center"/>
    </xf>
    <xf numFmtId="2" fontId="11" fillId="13" borderId="3" xfId="0" applyNumberFormat="1" applyFont="1" applyFill="1" applyBorder="1" applyAlignment="1">
      <alignment horizontal="center" vertical="center"/>
    </xf>
    <xf numFmtId="0" fontId="28" fillId="14" borderId="9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2" fontId="11" fillId="13" borderId="6" xfId="0" applyNumberFormat="1" applyFont="1" applyFill="1" applyBorder="1" applyAlignment="1">
      <alignment horizontal="center" vertical="center"/>
    </xf>
    <xf numFmtId="1" fontId="11" fillId="13" borderId="7" xfId="0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right" vertical="center"/>
    </xf>
    <xf numFmtId="2" fontId="11" fillId="13" borderId="9" xfId="0" applyNumberFormat="1" applyFont="1" applyFill="1" applyBorder="1" applyAlignment="1">
      <alignment horizontal="center" vertical="center"/>
    </xf>
    <xf numFmtId="1" fontId="11" fillId="13" borderId="10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" fontId="0" fillId="10" borderId="11" xfId="0" applyNumberFormat="1" applyFill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1" fontId="0" fillId="10" borderId="10" xfId="0" applyNumberFormat="1" applyFill="1" applyBorder="1" applyAlignment="1">
      <alignment horizontal="center" vertical="center"/>
    </xf>
    <xf numFmtId="1" fontId="0" fillId="11" borderId="11" xfId="0" applyNumberFormat="1" applyFill="1" applyBorder="1" applyAlignment="1">
      <alignment horizontal="center" vertical="center"/>
    </xf>
    <xf numFmtId="1" fontId="19" fillId="9" borderId="9" xfId="0" applyNumberFormat="1" applyFont="1" applyFill="1" applyBorder="1" applyAlignment="1">
      <alignment horizontal="center" vertical="center"/>
    </xf>
    <xf numFmtId="1" fontId="19" fillId="10" borderId="11" xfId="0" applyNumberFormat="1" applyFont="1" applyFill="1" applyBorder="1" applyAlignment="1">
      <alignment horizontal="center" vertical="center"/>
    </xf>
    <xf numFmtId="1" fontId="11" fillId="11" borderId="11" xfId="0" applyNumberFormat="1" applyFont="1" applyFill="1" applyBorder="1" applyAlignment="1">
      <alignment horizontal="center" vertical="center"/>
    </xf>
    <xf numFmtId="164" fontId="18" fillId="9" borderId="9" xfId="0" applyNumberFormat="1" applyFont="1" applyFill="1" applyBorder="1" applyAlignment="1">
      <alignment horizontal="center" vertical="center"/>
    </xf>
    <xf numFmtId="164" fontId="19" fillId="10" borderId="11" xfId="0" applyNumberFormat="1" applyFont="1" applyFill="1" applyBorder="1" applyAlignment="1">
      <alignment horizontal="center" vertical="center"/>
    </xf>
    <xf numFmtId="1" fontId="19" fillId="11" borderId="12" xfId="0" applyNumberFormat="1" applyFont="1" applyFill="1" applyBorder="1" applyAlignment="1">
      <alignment horizontal="center" vertical="center"/>
    </xf>
    <xf numFmtId="164" fontId="1" fillId="7" borderId="9" xfId="0" applyNumberFormat="1" applyFont="1" applyFill="1" applyBorder="1" applyAlignment="1">
      <alignment horizontal="center" vertical="center"/>
    </xf>
    <xf numFmtId="164" fontId="14" fillId="7" borderId="11" xfId="0" applyNumberFormat="1" applyFont="1" applyFill="1" applyBorder="1" applyAlignment="1">
      <alignment horizontal="center" vertical="center"/>
    </xf>
    <xf numFmtId="164" fontId="21" fillId="11" borderId="12" xfId="0" applyNumberFormat="1" applyFont="1" applyFill="1" applyBorder="1" applyAlignment="1">
      <alignment horizontal="center" vertical="center"/>
    </xf>
    <xf numFmtId="164" fontId="29" fillId="2" borderId="0" xfId="0" applyNumberFormat="1" applyFont="1" applyFill="1" applyAlignment="1">
      <alignment horizontal="center"/>
    </xf>
    <xf numFmtId="164" fontId="29" fillId="2" borderId="0" xfId="0" applyNumberFormat="1" applyFont="1" applyFill="1" applyAlignment="1">
      <alignment horizontal="left" vertical="center"/>
    </xf>
    <xf numFmtId="164" fontId="29" fillId="2" borderId="0" xfId="0" applyNumberFormat="1" applyFont="1" applyFill="1" applyAlignment="1">
      <alignment horizontal="center" vertical="center"/>
    </xf>
    <xf numFmtId="1" fontId="11" fillId="5" borderId="0" xfId="0" applyNumberFormat="1" applyFont="1" applyFill="1" applyAlignment="1">
      <alignment horizontal="left" vertical="center"/>
    </xf>
    <xf numFmtId="1" fontId="11" fillId="5" borderId="0" xfId="0" applyNumberFormat="1" applyFont="1" applyFill="1" applyAlignment="1">
      <alignment horizontal="right" vertical="center"/>
    </xf>
    <xf numFmtId="1" fontId="0" fillId="5" borderId="0" xfId="0" applyNumberFormat="1" applyFill="1" applyAlignment="1">
      <alignment horizontal="center" vertical="center"/>
    </xf>
    <xf numFmtId="164" fontId="11" fillId="5" borderId="0" xfId="0" applyNumberFormat="1" applyFont="1" applyFill="1" applyAlignment="1">
      <alignment horizontal="center" vertical="center"/>
    </xf>
    <xf numFmtId="1" fontId="17" fillId="5" borderId="0" xfId="0" applyNumberFormat="1" applyFont="1" applyFill="1" applyAlignment="1">
      <alignment horizontal="center" vertical="center"/>
    </xf>
    <xf numFmtId="164" fontId="18" fillId="5" borderId="0" xfId="0" applyNumberFormat="1" applyFont="1" applyFill="1" applyAlignment="1">
      <alignment horizontal="center" vertical="center"/>
    </xf>
    <xf numFmtId="165" fontId="18" fillId="5" borderId="13" xfId="0" applyNumberFormat="1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/>
    </xf>
    <xf numFmtId="1" fontId="34" fillId="2" borderId="0" xfId="0" applyNumberFormat="1" applyFont="1" applyFill="1" applyAlignment="1">
      <alignment horizontal="left" vertical="center"/>
    </xf>
    <xf numFmtId="1" fontId="17" fillId="15" borderId="0" xfId="0" applyNumberFormat="1" applyFont="1" applyFill="1" applyAlignment="1">
      <alignment horizontal="left" vertical="center"/>
    </xf>
    <xf numFmtId="164" fontId="11" fillId="15" borderId="0" xfId="0" applyNumberFormat="1" applyFont="1" applyFill="1" applyAlignment="1">
      <alignment horizontal="center" vertical="center"/>
    </xf>
    <xf numFmtId="1" fontId="12" fillId="15" borderId="0" xfId="0" applyNumberFormat="1" applyFont="1" applyFill="1" applyAlignment="1">
      <alignment horizontal="center" vertical="center"/>
    </xf>
    <xf numFmtId="164" fontId="36" fillId="15" borderId="0" xfId="0" applyNumberFormat="1" applyFont="1" applyFill="1" applyAlignment="1">
      <alignment horizontal="center" vertical="center"/>
    </xf>
    <xf numFmtId="1" fontId="36" fillId="15" borderId="0" xfId="0" applyNumberFormat="1" applyFont="1" applyFill="1" applyAlignment="1">
      <alignment horizontal="center" vertical="center"/>
    </xf>
    <xf numFmtId="164" fontId="37" fillId="0" borderId="13" xfId="0" applyNumberFormat="1" applyFont="1" applyBorder="1" applyAlignment="1">
      <alignment horizontal="center" vertical="center"/>
    </xf>
    <xf numFmtId="1" fontId="37" fillId="0" borderId="4" xfId="0" applyNumberFormat="1" applyFont="1" applyBorder="1" applyAlignment="1">
      <alignment horizontal="center" vertical="center"/>
    </xf>
    <xf numFmtId="164" fontId="37" fillId="0" borderId="9" xfId="0" applyNumberFormat="1" applyFont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1" fontId="37" fillId="0" borderId="11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5" fillId="2" borderId="0" xfId="0" applyNumberFormat="1" applyFont="1" applyFill="1" applyAlignment="1">
      <alignment horizontal="left" vertical="center"/>
    </xf>
    <xf numFmtId="164" fontId="0" fillId="6" borderId="0" xfId="0" applyNumberFormat="1" applyFill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38" fillId="6" borderId="0" xfId="0" applyNumberFormat="1" applyFon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38" fillId="10" borderId="0" xfId="0" applyNumberFormat="1" applyFont="1" applyFill="1" applyAlignment="1">
      <alignment horizontal="center" vertical="center"/>
    </xf>
    <xf numFmtId="1" fontId="39" fillId="6" borderId="0" xfId="0" applyNumberFormat="1" applyFont="1" applyFill="1" applyAlignment="1">
      <alignment horizontal="center" vertical="center"/>
    </xf>
    <xf numFmtId="1" fontId="0" fillId="16" borderId="0" xfId="0" applyNumberFormat="1" applyFill="1" applyAlignment="1">
      <alignment horizontal="center" vertical="center"/>
    </xf>
    <xf numFmtId="1" fontId="40" fillId="16" borderId="0" xfId="0" applyNumberFormat="1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" fontId="0" fillId="17" borderId="6" xfId="0" applyNumberFormat="1" applyFill="1" applyBorder="1" applyAlignment="1">
      <alignment horizontal="center" vertical="center"/>
    </xf>
    <xf numFmtId="1" fontId="0" fillId="17" borderId="0" xfId="0" applyNumberFormat="1" applyFill="1" applyAlignment="1">
      <alignment horizontal="center" vertical="center"/>
    </xf>
    <xf numFmtId="164" fontId="0" fillId="17" borderId="7" xfId="0" applyNumberFormat="1" applyFill="1" applyBorder="1" applyAlignment="1">
      <alignment horizontal="center" vertical="center"/>
    </xf>
    <xf numFmtId="1" fontId="39" fillId="12" borderId="0" xfId="0" applyNumberFormat="1" applyFont="1" applyFill="1" applyAlignment="1">
      <alignment horizontal="center" vertical="center"/>
    </xf>
    <xf numFmtId="1" fontId="0" fillId="12" borderId="0" xfId="0" applyNumberFormat="1" applyFill="1" applyAlignment="1">
      <alignment horizontal="center" vertical="center"/>
    </xf>
    <xf numFmtId="1" fontId="40" fillId="12" borderId="0" xfId="0" applyNumberFormat="1" applyFont="1" applyFill="1" applyAlignment="1">
      <alignment horizontal="center" vertical="center"/>
    </xf>
    <xf numFmtId="1" fontId="41" fillId="2" borderId="0" xfId="0" applyNumberFormat="1" applyFont="1" applyFill="1" applyAlignment="1">
      <alignment horizontal="center" vertical="center"/>
    </xf>
    <xf numFmtId="1" fontId="41" fillId="2" borderId="1" xfId="0" applyNumberFormat="1" applyFont="1" applyFill="1" applyBorder="1" applyAlignment="1">
      <alignment horizontal="center" vertical="center"/>
    </xf>
    <xf numFmtId="1" fontId="41" fillId="2" borderId="2" xfId="0" applyNumberFormat="1" applyFont="1" applyFill="1" applyBorder="1" applyAlignment="1">
      <alignment horizontal="center" vertical="center"/>
    </xf>
    <xf numFmtId="1" fontId="41" fillId="2" borderId="3" xfId="0" applyNumberFormat="1" applyFont="1" applyFill="1" applyBorder="1" applyAlignment="1">
      <alignment horizontal="center" vertical="center"/>
    </xf>
    <xf numFmtId="1" fontId="41" fillId="2" borderId="6" xfId="0" applyNumberFormat="1" applyFont="1" applyFill="1" applyBorder="1" applyAlignment="1">
      <alignment horizontal="center" vertical="center"/>
    </xf>
    <xf numFmtId="1" fontId="41" fillId="2" borderId="7" xfId="0" applyNumberFormat="1" applyFont="1" applyFill="1" applyBorder="1" applyAlignment="1">
      <alignment horizontal="center" vertical="center"/>
    </xf>
    <xf numFmtId="1" fontId="0" fillId="17" borderId="9" xfId="0" applyNumberFormat="1" applyFill="1" applyBorder="1" applyAlignment="1">
      <alignment horizontal="center" vertical="center"/>
    </xf>
    <xf numFmtId="1" fontId="0" fillId="17" borderId="10" xfId="0" applyNumberFormat="1" applyFill="1" applyBorder="1" applyAlignment="1">
      <alignment horizontal="center" vertical="center"/>
    </xf>
    <xf numFmtId="164" fontId="0" fillId="17" borderId="11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41" fillId="2" borderId="9" xfId="0" applyNumberFormat="1" applyFont="1" applyFill="1" applyBorder="1" applyAlignment="1">
      <alignment horizontal="center" vertical="center"/>
    </xf>
    <xf numFmtId="1" fontId="41" fillId="2" borderId="10" xfId="0" applyNumberFormat="1" applyFont="1" applyFill="1" applyBorder="1" applyAlignment="1">
      <alignment horizontal="center" vertical="center"/>
    </xf>
    <xf numFmtId="1" fontId="41" fillId="2" borderId="11" xfId="0" applyNumberFormat="1" applyFon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/>
    </xf>
    <xf numFmtId="1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122559895315215E-2"/>
          <c:y val="9.8066824864546057E-2"/>
          <c:w val="0.86368127761810898"/>
          <c:h val="0.78403420777277222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65108080"/>
        <c:axId val="56509368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'C'!$M$5</c15:sqref>
                        </c15:formulaRef>
                      </c:ext>
                    </c:extLst>
                    <c:strCache>
                      <c:ptCount val="1"/>
                      <c:pt idx="0">
                        <c:v>c</c:v>
                      </c:pt>
                    </c:strCache>
                  </c:strRef>
                </c:tx>
                <c:spPr>
                  <a:ln w="19050">
                    <a:noFill/>
                  </a:ln>
                </c:spPr>
                <c:marker>
                  <c:symbol val="plus"/>
                  <c:size val="4"/>
                  <c:spPr>
                    <a:noFill/>
                    <a:ln w="3175">
                      <a:solidFill>
                        <a:sysClr val="windowText" lastClr="000000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'C'!$Q$6:$Q$16</c15:sqref>
                        </c15:formulaRef>
                      </c:ext>
                    </c:extLst>
                    <c:numCache>
                      <c:formatCode>0</c:formatCode>
                      <c:ptCount val="11"/>
                      <c:pt idx="0">
                        <c:v>-6.1818181818181817</c:v>
                      </c:pt>
                      <c:pt idx="1">
                        <c:v>-6.1818181818181817</c:v>
                      </c:pt>
                      <c:pt idx="2">
                        <c:v>-6.1818181818181817</c:v>
                      </c:pt>
                      <c:pt idx="3">
                        <c:v>-6.1818181818181817</c:v>
                      </c:pt>
                      <c:pt idx="4">
                        <c:v>-2.1818181818181817</c:v>
                      </c:pt>
                      <c:pt idx="5">
                        <c:v>-0.18181818181818166</c:v>
                      </c:pt>
                      <c:pt idx="6">
                        <c:v>-0.18181818181818166</c:v>
                      </c:pt>
                      <c:pt idx="7">
                        <c:v>1.8181818181818183</c:v>
                      </c:pt>
                      <c:pt idx="8">
                        <c:v>7.8181818181818183</c:v>
                      </c:pt>
                      <c:pt idx="9">
                        <c:v>7.8181818181818183</c:v>
                      </c:pt>
                      <c:pt idx="10">
                        <c:v>9.8181818181818183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'C'!$K$29:$K$39</c15:sqref>
                        </c15:formulaRef>
                      </c:ext>
                    </c:extLst>
                    <c:numCache>
                      <c:formatCode>0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E-4442-44AF-BF90-255E1822C563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1"/>
          <c:order val="0"/>
          <c:tx>
            <c:strRef>
              <c:f>'C'!$K$5</c:f>
              <c:strCache>
                <c:ptCount val="1"/>
                <c:pt idx="0">
                  <c:v>a</c:v>
                </c:pt>
              </c:strCache>
            </c:strRef>
          </c:tx>
          <c:spPr>
            <a:ln w="19050">
              <a:noFill/>
            </a:ln>
            <a:effectLst/>
          </c:spPr>
          <c:marker>
            <c:symbol val="none"/>
          </c:marker>
          <c:dLbls>
            <c:dLbl>
              <c:idx val="6"/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171243560999344"/>
                      <c:h val="0.138289703315881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442-44AF-BF90-255E1822C563}"/>
                </c:ext>
              </c:extLst>
            </c:dLbl>
            <c:dLbl>
              <c:idx val="7"/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632335918686494"/>
                      <c:h val="0.138289703315881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442-44AF-BF90-255E1822C563}"/>
                </c:ext>
              </c:extLst>
            </c:dLbl>
            <c:dLbl>
              <c:idx val="8"/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801209804836209"/>
                      <c:h val="0.138289703315881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442-44AF-BF90-255E1822C563}"/>
                </c:ext>
              </c:extLst>
            </c:dLbl>
            <c:dLbl>
              <c:idx val="9"/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755680504074204"/>
                      <c:h val="0.138289703315881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442-44AF-BF90-255E1822C563}"/>
                </c:ext>
              </c:extLst>
            </c:dLbl>
            <c:dLbl>
              <c:idx val="10"/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216772861761351"/>
                      <c:h val="0.138289703315881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442-44AF-BF90-255E1822C5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'C'!$O$6:$O$16</c:f>
              <c:numCache>
                <c:formatCode>0.0</c:formatCode>
                <c:ptCount val="11"/>
                <c:pt idx="0">
                  <c:v>2.3636363636363633</c:v>
                </c:pt>
                <c:pt idx="1">
                  <c:v>2.3636363636363633</c:v>
                </c:pt>
                <c:pt idx="2">
                  <c:v>2.3636363636363633</c:v>
                </c:pt>
                <c:pt idx="3">
                  <c:v>1.3636363636363633</c:v>
                </c:pt>
                <c:pt idx="4">
                  <c:v>1.3636363636363633</c:v>
                </c:pt>
                <c:pt idx="5">
                  <c:v>0.36363636363636331</c:v>
                </c:pt>
                <c:pt idx="6">
                  <c:v>-0.63636363636363669</c:v>
                </c:pt>
                <c:pt idx="7">
                  <c:v>-1.6363636363636367</c:v>
                </c:pt>
                <c:pt idx="8">
                  <c:v>-1.6363636363636367</c:v>
                </c:pt>
                <c:pt idx="9">
                  <c:v>-1.6363636363636367</c:v>
                </c:pt>
                <c:pt idx="10">
                  <c:v>-4.6363636363636367</c:v>
                </c:pt>
              </c:numCache>
            </c:numRef>
          </c:xVal>
          <c:yVal>
            <c:numRef>
              <c:f>'C'!$K$29:$K$39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442-44AF-BF90-255E1822C563}"/>
            </c:ext>
          </c:extLst>
        </c:ser>
        <c:ser>
          <c:idx val="0"/>
          <c:order val="1"/>
          <c:tx>
            <c:strRef>
              <c:f>'C'!$L$5</c:f>
              <c:strCache>
                <c:ptCount val="1"/>
                <c:pt idx="0">
                  <c:v>b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347555519043271"/>
                      <c:h val="0.138289656422957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4442-44AF-BF90-255E1822C563}"/>
                </c:ext>
              </c:extLst>
            </c:dLbl>
            <c:dLbl>
              <c:idx val="1"/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801209804836209"/>
                      <c:h val="0.138289703315881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442-44AF-BF90-255E1822C563}"/>
                </c:ext>
              </c:extLst>
            </c:dLbl>
            <c:dLbl>
              <c:idx val="2"/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216772861761351"/>
                      <c:h val="0.138289703315881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4442-44AF-BF90-255E1822C563}"/>
                </c:ext>
              </c:extLst>
            </c:dLbl>
            <c:dLbl>
              <c:idx val="3"/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632335918686494"/>
                      <c:h val="0.138289703315881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4442-44AF-BF90-255E1822C563}"/>
                </c:ext>
              </c:extLst>
            </c:dLbl>
            <c:dLbl>
              <c:idx val="4"/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801209804836209"/>
                      <c:h val="0.138289703315881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4442-44AF-BF90-255E1822C563}"/>
                </c:ext>
              </c:extLst>
            </c:dLbl>
            <c:dLbl>
              <c:idx val="5"/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340117447149064"/>
                      <c:h val="0.138289703315881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442-44AF-BF90-255E1822C563}"/>
                </c:ext>
              </c:extLst>
            </c:dLbl>
            <c:dLbl>
              <c:idx val="6"/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047898975611634"/>
                      <c:h val="0.138289703315881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4442-44AF-BF90-255E1822C5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5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'C'!$P$6:$P$16</c:f>
              <c:numCache>
                <c:formatCode>0.0</c:formatCode>
                <c:ptCount val="11"/>
                <c:pt idx="0">
                  <c:v>-3.0909090909090908</c:v>
                </c:pt>
                <c:pt idx="1">
                  <c:v>-3.0909090909090908</c:v>
                </c:pt>
                <c:pt idx="2">
                  <c:v>-3.0909090909090908</c:v>
                </c:pt>
                <c:pt idx="3">
                  <c:v>-3.0909090909090908</c:v>
                </c:pt>
                <c:pt idx="4">
                  <c:v>-1.0909090909090908</c:v>
                </c:pt>
                <c:pt idx="5">
                  <c:v>-9.0909090909090828E-2</c:v>
                </c:pt>
                <c:pt idx="6">
                  <c:v>-9.0909090909090828E-2</c:v>
                </c:pt>
                <c:pt idx="7">
                  <c:v>0.90909090909090917</c:v>
                </c:pt>
                <c:pt idx="8">
                  <c:v>3.9090909090909092</c:v>
                </c:pt>
                <c:pt idx="9">
                  <c:v>3.9090909090909092</c:v>
                </c:pt>
                <c:pt idx="10">
                  <c:v>4.9090909090909092</c:v>
                </c:pt>
              </c:numCache>
            </c:numRef>
          </c:xVal>
          <c:yVal>
            <c:numRef>
              <c:f>'C'!$K$29:$K$39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442-44AF-BF90-255E1822C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161567"/>
        <c:axId val="1483136127"/>
      </c:scatterChart>
      <c:valAx>
        <c:axId val="565108080"/>
        <c:scaling>
          <c:orientation val="minMax"/>
          <c:max val="1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high"/>
        <c:crossAx val="565093680"/>
        <c:crosses val="autoZero"/>
        <c:crossBetween val="midCat"/>
      </c:valAx>
      <c:valAx>
        <c:axId val="56509368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565108080"/>
        <c:crosses val="autoZero"/>
        <c:crossBetween val="midCat"/>
      </c:valAx>
      <c:valAx>
        <c:axId val="1483136127"/>
        <c:scaling>
          <c:orientation val="maxMin"/>
        </c:scaling>
        <c:delete val="0"/>
        <c:axPos val="l"/>
        <c:numFmt formatCode="0" sourceLinked="1"/>
        <c:majorTickMark val="none"/>
        <c:minorTickMark val="none"/>
        <c:tickLblPos val="high"/>
        <c:spPr>
          <a:ln w="15875">
            <a:solidFill>
              <a:schemeClr val="tx1"/>
            </a:solidFill>
          </a:ln>
        </c:spPr>
        <c:txPr>
          <a:bodyPr/>
          <a:lstStyle/>
          <a:p>
            <a:pPr>
              <a:defRPr sz="100" b="0"/>
            </a:pPr>
            <a:endParaRPr lang="LID4096"/>
          </a:p>
        </c:txPr>
        <c:crossAx val="1483161567"/>
        <c:crossesAt val="0"/>
        <c:crossBetween val="midCat"/>
      </c:valAx>
      <c:valAx>
        <c:axId val="1483161567"/>
        <c:scaling>
          <c:orientation val="minMax"/>
          <c:max val="6"/>
          <c:min val="-6"/>
        </c:scaling>
        <c:delete val="0"/>
        <c:axPos val="t"/>
        <c:numFmt formatCode="0" sourceLinked="0"/>
        <c:majorTickMark val="none"/>
        <c:minorTickMark val="none"/>
        <c:tickLblPos val="nextTo"/>
        <c:spPr>
          <a:noFill/>
        </c:spPr>
        <c:txPr>
          <a:bodyPr/>
          <a:lstStyle/>
          <a:p>
            <a:pPr>
              <a:defRPr sz="1100" b="1"/>
            </a:pPr>
            <a:endParaRPr lang="LID4096"/>
          </a:p>
        </c:txPr>
        <c:crossAx val="1483136127"/>
        <c:crosses val="autoZero"/>
        <c:crossBetween val="midCat"/>
        <c:majorUnit val="2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  <c:extLst/>
  </c:chart>
  <c:spPr>
    <a:solidFill>
      <a:schemeClr val="accent4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83833930417043"/>
          <c:y val="0.10364978840725629"/>
          <c:w val="0.79673212070172905"/>
          <c:h val="0.77582337896825482"/>
        </c:manualLayout>
      </c:layout>
      <c:scatterChart>
        <c:scatterStyle val="lineMarker"/>
        <c:varyColors val="0"/>
        <c:ser>
          <c:idx val="2"/>
          <c:order val="2"/>
          <c:tx>
            <c:v>bc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 w="3175">
                <a:solidFill>
                  <a:srgbClr val="0000FF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rgbClr val="0000FF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'C'!$L$6:$L$16</c:f>
              <c:numCache>
                <c:formatCode>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</c:numCache>
            </c:numRef>
          </c:xVal>
          <c:yVal>
            <c:numRef>
              <c:f>'C'!$M$6:$M$16</c:f>
              <c:numCache>
                <c:formatCode>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10</c:v>
                </c:pt>
                <c:pt idx="8">
                  <c:v>16</c:v>
                </c:pt>
                <c:pt idx="9">
                  <c:v>16</c:v>
                </c:pt>
                <c:pt idx="1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AA-475E-BD26-C0170000B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212368"/>
        <c:axId val="506844784"/>
      </c:scatterChart>
      <c:scatterChart>
        <c:scatterStyle val="lineMarker"/>
        <c:varyColors val="0"/>
        <c:ser>
          <c:idx val="0"/>
          <c:order val="0"/>
          <c:tx>
            <c:v>ab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2225" cap="rnd">
                <a:solidFill>
                  <a:srgbClr val="FF000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'C'!$K$6:$K$16</c:f>
              <c:numCache>
                <c:formatCode>0</c:formatCode>
                <c:ptCount val="1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1</c:v>
                </c:pt>
              </c:numCache>
            </c:numRef>
          </c:xVal>
          <c:yVal>
            <c:numRef>
              <c:f>'C'!$L$6:$L$16</c:f>
              <c:numCache>
                <c:formatCode>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AA-475E-BD26-C0170000B367}"/>
            </c:ext>
          </c:extLst>
        </c:ser>
        <c:ser>
          <c:idx val="1"/>
          <c:order val="1"/>
          <c:tx>
            <c:v>ac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'C'!$K$6:$K$16</c:f>
              <c:numCache>
                <c:formatCode>0</c:formatCode>
                <c:ptCount val="1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1</c:v>
                </c:pt>
              </c:numCache>
            </c:numRef>
          </c:xVal>
          <c:yVal>
            <c:numRef>
              <c:f>'C'!$M$6:$M$16</c:f>
              <c:numCache>
                <c:formatCode>0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10</c:v>
                </c:pt>
                <c:pt idx="8">
                  <c:v>16</c:v>
                </c:pt>
                <c:pt idx="9">
                  <c:v>16</c:v>
                </c:pt>
                <c:pt idx="1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AAA-475E-BD26-C0170000B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91743"/>
        <c:axId val="87086943"/>
      </c:scatterChart>
      <c:valAx>
        <c:axId val="86221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06844784"/>
        <c:crosses val="autoZero"/>
        <c:crossBetween val="midCat"/>
      </c:valAx>
      <c:valAx>
        <c:axId val="50684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62212368"/>
        <c:crosses val="autoZero"/>
        <c:crossBetween val="midCat"/>
      </c:valAx>
      <c:valAx>
        <c:axId val="87086943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7091743"/>
        <c:crosses val="max"/>
        <c:crossBetween val="midCat"/>
      </c:valAx>
      <c:valAx>
        <c:axId val="87091743"/>
        <c:scaling>
          <c:orientation val="minMax"/>
        </c:scaling>
        <c:delete val="0"/>
        <c:axPos val="t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7086943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223765</xdr:colOff>
      <xdr:row>4</xdr:row>
      <xdr:rowOff>149086</xdr:rowOff>
    </xdr:from>
    <xdr:to>
      <xdr:col>41</xdr:col>
      <xdr:colOff>15864</xdr:colOff>
      <xdr:row>20</xdr:row>
      <xdr:rowOff>99391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CB9A9E5-414B-4219-8AB0-4FB2CE9FECE4}"/>
            </a:ext>
          </a:extLst>
        </xdr:cNvPr>
        <xdr:cNvGrpSpPr>
          <a:grpSpLocks noChangeAspect="1"/>
        </xdr:cNvGrpSpPr>
      </xdr:nvGrpSpPr>
      <xdr:grpSpPr>
        <a:xfrm>
          <a:off x="11140243" y="679173"/>
          <a:ext cx="3834012" cy="2517914"/>
          <a:chOff x="3461635" y="3239059"/>
          <a:chExt cx="6172619" cy="414337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CE8282B3-454E-DE8C-0E7B-4E9C9968B4D8}"/>
              </a:ext>
            </a:extLst>
          </xdr:cNvPr>
          <xdr:cNvGrpSpPr>
            <a:grpSpLocks noChangeAspect="1"/>
          </xdr:cNvGrpSpPr>
        </xdr:nvGrpSpPr>
        <xdr:grpSpPr>
          <a:xfrm>
            <a:off x="3461635" y="3239059"/>
            <a:ext cx="6172619" cy="4143375"/>
            <a:chOff x="3486148" y="3314699"/>
            <a:chExt cx="6187677" cy="4250532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6E496087-9819-DD65-3A57-305AD69AC4DD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3486148" y="3314699"/>
              <a:ext cx="6187677" cy="4250532"/>
              <a:chOff x="3479004" y="3295649"/>
              <a:chExt cx="6198393" cy="4219575"/>
            </a:xfrm>
          </xdr:grpSpPr>
          <xdr:pic>
            <xdr:nvPicPr>
              <xdr:cNvPr id="7" name="Picture 6">
                <a:extLst>
                  <a:ext uri="{FF2B5EF4-FFF2-40B4-BE49-F238E27FC236}">
                    <a16:creationId xmlns:a16="http://schemas.microsoft.com/office/drawing/2014/main" id="{263BC565-15D4-BC05-8FCF-A53FDD1D4D88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"/>
              <a:srcRect r="83634" b="18909"/>
              <a:stretch>
                <a:fillRect/>
              </a:stretch>
            </xdr:blipFill>
            <xdr:spPr>
              <a:xfrm flipH="1">
                <a:off x="3479004" y="3295649"/>
                <a:ext cx="6198393" cy="4219575"/>
              </a:xfrm>
              <a:prstGeom prst="rect">
                <a:avLst/>
              </a:prstGeom>
            </xdr:spPr>
          </xdr:pic>
          <xdr:grpSp>
            <xdr:nvGrpSpPr>
              <xdr:cNvPr id="8" name="Group 7">
                <a:extLst>
                  <a:ext uri="{FF2B5EF4-FFF2-40B4-BE49-F238E27FC236}">
                    <a16:creationId xmlns:a16="http://schemas.microsoft.com/office/drawing/2014/main" id="{8DFF3718-1EA1-550C-3C73-5DB237EEFDDD}"/>
                  </a:ext>
                </a:extLst>
              </xdr:cNvPr>
              <xdr:cNvGrpSpPr/>
            </xdr:nvGrpSpPr>
            <xdr:grpSpPr>
              <a:xfrm>
                <a:off x="3619499" y="4914908"/>
                <a:ext cx="5904573" cy="2537151"/>
                <a:chOff x="1790700" y="5931899"/>
                <a:chExt cx="4323953" cy="1757977"/>
              </a:xfrm>
            </xdr:grpSpPr>
            <xdr:grpSp>
              <xdr:nvGrpSpPr>
                <xdr:cNvPr id="12" name="Group 11">
                  <a:extLst>
                    <a:ext uri="{FF2B5EF4-FFF2-40B4-BE49-F238E27FC236}">
                      <a16:creationId xmlns:a16="http://schemas.microsoft.com/office/drawing/2014/main" id="{DAEFF426-D708-E30B-F47F-EE2E5B17D667}"/>
                    </a:ext>
                  </a:extLst>
                </xdr:cNvPr>
                <xdr:cNvGrpSpPr/>
              </xdr:nvGrpSpPr>
              <xdr:grpSpPr>
                <a:xfrm>
                  <a:off x="1790700" y="5931899"/>
                  <a:ext cx="4323953" cy="1757977"/>
                  <a:chOff x="790575" y="1886000"/>
                  <a:chExt cx="6415033" cy="2608136"/>
                </a:xfrm>
              </xdr:grpSpPr>
              <xdr:pic>
                <xdr:nvPicPr>
                  <xdr:cNvPr id="15" name="Picture 14">
                    <a:extLst>
                      <a:ext uri="{FF2B5EF4-FFF2-40B4-BE49-F238E27FC236}">
                        <a16:creationId xmlns:a16="http://schemas.microsoft.com/office/drawing/2014/main" id="{3F801948-05FD-77BF-FC98-31160206C57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"/>
                  <a:srcRect b="59041"/>
                  <a:stretch>
                    <a:fillRect/>
                  </a:stretch>
                </xdr:blipFill>
                <xdr:spPr>
                  <a:xfrm>
                    <a:off x="1318346" y="1886000"/>
                    <a:ext cx="3590476" cy="748962"/>
                  </a:xfrm>
                  <a:prstGeom prst="rect">
                    <a:avLst/>
                  </a:prstGeom>
                </xdr:spPr>
              </xdr:pic>
              <xdr:pic>
                <xdr:nvPicPr>
                  <xdr:cNvPr id="16" name="Picture 15">
                    <a:extLst>
                      <a:ext uri="{FF2B5EF4-FFF2-40B4-BE49-F238E27FC236}">
                        <a16:creationId xmlns:a16="http://schemas.microsoft.com/office/drawing/2014/main" id="{148347F6-F230-20DF-84F7-9AD469093FD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"/>
                  <a:srcRect b="11015"/>
                  <a:stretch>
                    <a:fillRect/>
                  </a:stretch>
                </xdr:blipFill>
                <xdr:spPr>
                  <a:xfrm>
                    <a:off x="790575" y="3370284"/>
                    <a:ext cx="6415033" cy="1123852"/>
                  </a:xfrm>
                  <a:prstGeom prst="rect">
                    <a:avLst/>
                  </a:prstGeom>
                </xdr:spPr>
              </xdr:pic>
            </xdr:grpSp>
            <xdr:pic>
              <xdr:nvPicPr>
                <xdr:cNvPr id="13" name="Picture 12">
                  <a:extLst>
                    <a:ext uri="{FF2B5EF4-FFF2-40B4-BE49-F238E27FC236}">
                      <a16:creationId xmlns:a16="http://schemas.microsoft.com/office/drawing/2014/main" id="{67A8169A-4427-6A5B-5FB3-3B9AE401DDCB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2"/>
                <a:srcRect t="57961" b="11127"/>
                <a:stretch>
                  <a:fillRect/>
                </a:stretch>
              </xdr:blipFill>
              <xdr:spPr>
                <a:xfrm>
                  <a:off x="1790700" y="6496873"/>
                  <a:ext cx="2420104" cy="38100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4" name="TextBox 13">
                  <a:extLst>
                    <a:ext uri="{FF2B5EF4-FFF2-40B4-BE49-F238E27FC236}">
                      <a16:creationId xmlns:a16="http://schemas.microsoft.com/office/drawing/2014/main" id="{8B40B8A6-8CE1-6420-7866-0BC5A7AD6D01}"/>
                    </a:ext>
                  </a:extLst>
                </xdr:cNvPr>
                <xdr:cNvSpPr txBox="1"/>
              </xdr:nvSpPr>
              <xdr:spPr>
                <a:xfrm>
                  <a:off x="2017428" y="6815057"/>
                  <a:ext cx="1418961" cy="6073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pt-BR" sz="1600" b="1">
                      <a:solidFill>
                        <a:schemeClr val="bg1"/>
                      </a:solidFill>
                    </a:rPr>
                    <a:t>h ↔ o</a:t>
                  </a:r>
                  <a:endParaRPr lang="LID4096" sz="1600" b="1">
                    <a:solidFill>
                      <a:schemeClr val="bg1"/>
                    </a:solidFill>
                  </a:endParaRPr>
                </a:p>
              </xdr:txBody>
            </xdr:sp>
          </xdr:grpSp>
          <xdr:pic>
            <xdr:nvPicPr>
              <xdr:cNvPr id="9" name="Picture 8">
                <a:extLst>
                  <a:ext uri="{FF2B5EF4-FFF2-40B4-BE49-F238E27FC236}">
                    <a16:creationId xmlns:a16="http://schemas.microsoft.com/office/drawing/2014/main" id="{8CE092C3-18C8-3B1C-BEF7-5FCCD64622B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3619500" y="3340942"/>
                <a:ext cx="3990975" cy="1545160"/>
              </a:xfrm>
              <a:prstGeom prst="rect">
                <a:avLst/>
              </a:prstGeom>
            </xdr:spPr>
          </xdr:pic>
          <xdr:pic>
            <xdr:nvPicPr>
              <xdr:cNvPr id="10" name="Picture 9">
                <a:extLst>
                  <a:ext uri="{FF2B5EF4-FFF2-40B4-BE49-F238E27FC236}">
                    <a16:creationId xmlns:a16="http://schemas.microsoft.com/office/drawing/2014/main" id="{BB9B354E-3292-CE27-A875-C0A9B88AF0C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3562351" y="4857749"/>
                <a:ext cx="2761904" cy="800000"/>
              </a:xfrm>
              <a:prstGeom prst="rect">
                <a:avLst/>
              </a:prstGeom>
            </xdr:spPr>
          </xdr:pic>
          <xdr:pic>
            <xdr:nvPicPr>
              <xdr:cNvPr id="11" name="Picture 10">
                <a:extLst>
                  <a:ext uri="{FF2B5EF4-FFF2-40B4-BE49-F238E27FC236}">
                    <a16:creationId xmlns:a16="http://schemas.microsoft.com/office/drawing/2014/main" id="{46A9B861-BD83-35F9-1FA6-8E2C0408157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9094728" y="4709003"/>
                <a:ext cx="523810" cy="704762"/>
              </a:xfrm>
              <a:prstGeom prst="rect">
                <a:avLst/>
              </a:prstGeom>
            </xdr:spPr>
          </xdr:pic>
        </xdr:grpSp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33C0062A-E0E6-C055-A206-4828CC79A39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/>
            <a:srcRect l="23365" r="64784"/>
            <a:stretch>
              <a:fillRect/>
            </a:stretch>
          </xdr:blipFill>
          <xdr:spPr>
            <a:xfrm>
              <a:off x="8435049" y="4729412"/>
              <a:ext cx="326232" cy="805953"/>
            </a:xfrm>
            <a:prstGeom prst="rect">
              <a:avLst/>
            </a:prstGeom>
          </xdr:spPr>
        </xdr:pic>
      </xdr:grp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1678436D-9898-2772-E4F2-7940B444428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/>
          <a:srcRect r="3333" b="13498"/>
          <a:stretch>
            <a:fillRect/>
          </a:stretch>
        </xdr:blipFill>
        <xdr:spPr>
          <a:xfrm>
            <a:off x="6790287" y="5311974"/>
            <a:ext cx="2744727" cy="954001"/>
          </a:xfrm>
          <a:prstGeom prst="rect">
            <a:avLst/>
          </a:prstGeom>
        </xdr:spPr>
      </xdr:pic>
    </xdr:grpSp>
    <xdr:clientData/>
  </xdr:twoCellAnchor>
  <xdr:twoCellAnchor>
    <xdr:from>
      <xdr:col>37</xdr:col>
      <xdr:colOff>482095</xdr:colOff>
      <xdr:row>24</xdr:row>
      <xdr:rowOff>179296</xdr:rowOff>
    </xdr:from>
    <xdr:to>
      <xdr:col>40</xdr:col>
      <xdr:colOff>359644</xdr:colOff>
      <xdr:row>31</xdr:row>
      <xdr:rowOff>54658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3829345B-8C11-44E8-B0ED-18E50DFF5441}"/>
            </a:ext>
          </a:extLst>
        </xdr:cNvPr>
        <xdr:cNvGrpSpPr/>
      </xdr:nvGrpSpPr>
      <xdr:grpSpPr>
        <a:xfrm>
          <a:off x="12988834" y="4113535"/>
          <a:ext cx="1716288" cy="1076340"/>
          <a:chOff x="14135100" y="3352800"/>
          <a:chExt cx="1657350" cy="1043940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85D15324-06E0-5B74-21BC-6750FC06B29A}"/>
              </a:ext>
            </a:extLst>
          </xdr:cNvPr>
          <xdr:cNvGrpSpPr/>
        </xdr:nvGrpSpPr>
        <xdr:grpSpPr>
          <a:xfrm>
            <a:off x="14220825" y="3419475"/>
            <a:ext cx="1512597" cy="935601"/>
            <a:chOff x="14220825" y="3419475"/>
            <a:chExt cx="1512597" cy="935601"/>
          </a:xfrm>
        </xdr:grpSpPr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ADE51C41-CE83-279B-F013-6A58B4DE5B20}"/>
                </a:ext>
              </a:extLst>
            </xdr:cNvPr>
            <xdr:cNvGrpSpPr/>
          </xdr:nvGrpSpPr>
          <xdr:grpSpPr>
            <a:xfrm>
              <a:off x="14220825" y="3419475"/>
              <a:ext cx="726350" cy="935373"/>
              <a:chOff x="12344400" y="6324600"/>
              <a:chExt cx="726350" cy="935373"/>
            </a:xfrm>
          </xdr:grpSpPr>
          <mc:AlternateContent xmlns:mc="http://schemas.openxmlformats.org/markup-compatibility/2006" xmlns:a14="http://schemas.microsoft.com/office/drawing/2010/main">
            <mc:Choice Requires="a14">
              <xdr:sp macro="" textlink="">
                <xdr:nvSpPr>
                  <xdr:cNvPr id="24" name="TextBox 23">
                    <a:extLst>
                      <a:ext uri="{FF2B5EF4-FFF2-40B4-BE49-F238E27FC236}">
                        <a16:creationId xmlns:a16="http://schemas.microsoft.com/office/drawing/2014/main" id="{1C620E5A-D4E1-715F-F30D-DAABE18440CF}"/>
                      </a:ext>
                    </a:extLst>
                  </xdr:cNvPr>
                  <xdr:cNvSpPr txBox="1"/>
                </xdr:nvSpPr>
                <xdr:spPr>
                  <a:xfrm>
                    <a:off x="12344400" y="6772275"/>
                    <a:ext cx="680058" cy="487698"/>
                  </a:xfrm>
                  <a:prstGeom prst="rect">
                    <a:avLst/>
                  </a:prstGeom>
                  <a:noFill/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  <xdr:txBody>
                  <a:bodyPr vertOverflow="clip" horzOverflow="clip" wrap="none" lIns="0" tIns="0" rIns="0" bIns="0" rtlCol="0" anchor="t">
                    <a:spAutoFit/>
                  </a:bodyPr>
                  <a:lstStyle/>
                  <a:p>
                    <a:pPr/>
                    <a14:m>
                      <m:oMathPara xmlns:m="http://schemas.openxmlformats.org/officeDocument/2006/math">
                        <m:oMathParaPr>
                          <m:jc m:val="centerGroup"/>
                        </m:oMathParaPr>
                        <m:oMath xmlns:m="http://schemas.openxmlformats.org/officeDocument/2006/math">
                          <m:sSup>
                            <m:sSupPr>
                              <m:ctrlPr>
                                <a:rPr lang="pt-BR" sz="30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m:rPr>
                                  <m:sty m:val="p"/>
                                </m:rPr>
                                <a:rPr lang="pt-BR" sz="30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cs typeface="+mn-cs"/>
                                </a:rPr>
                                <m:t>x</m:t>
                              </m:r>
                            </m:e>
                            <m:sup>
                              <m:r>
                                <m:rPr>
                                  <m:sty m:val="p"/>
                                </m:rPr>
                                <a:rPr lang="pt-BR" sz="3000" b="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cs typeface="+mn-cs"/>
                                </a:rPr>
                                <m:t>T</m:t>
                              </m:r>
                            </m:sup>
                          </m:sSup>
                          <m:r>
                            <m:rPr>
                              <m:sty m:val="p"/>
                            </m:rPr>
                            <a:rPr lang="pt-BR" sz="30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y</m:t>
                          </m:r>
                        </m:oMath>
                      </m:oMathPara>
                    </a14:m>
                    <a:endParaRPr lang="LID4096" sz="3000" i="0">
                      <a:latin typeface="Arial" panose="020B0604020202020204" pitchFamily="34" charset="0"/>
                      <a:ea typeface="Cambria" panose="02040503050406030204" pitchFamily="18" charset="0"/>
                      <a:cs typeface="Arial" panose="020B0604020202020204" pitchFamily="34" charset="0"/>
                    </a:endParaRPr>
                  </a:p>
                </xdr:txBody>
              </xdr:sp>
            </mc:Choice>
            <mc:Fallback xmlns="">
              <xdr:sp macro="" textlink="">
                <xdr:nvSpPr>
                  <xdr:cNvPr id="24" name="TextBox 23">
                    <a:extLst>
                      <a:ext uri="{FF2B5EF4-FFF2-40B4-BE49-F238E27FC236}">
                        <a16:creationId xmlns:a16="http://schemas.microsoft.com/office/drawing/2014/main" id="{1C620E5A-D4E1-715F-F30D-DAABE18440CF}"/>
                      </a:ext>
                    </a:extLst>
                  </xdr:cNvPr>
                  <xdr:cNvSpPr txBox="1"/>
                </xdr:nvSpPr>
                <xdr:spPr>
                  <a:xfrm>
                    <a:off x="12344400" y="6772275"/>
                    <a:ext cx="680058" cy="487698"/>
                  </a:xfrm>
                  <a:prstGeom prst="rect">
                    <a:avLst/>
                  </a:prstGeom>
                  <a:noFill/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  <xdr:txBody>
                  <a:bodyPr vertOverflow="clip" horzOverflow="clip" wrap="none" lIns="0" tIns="0" rIns="0" bIns="0" rtlCol="0" anchor="t">
                    <a:spAutoFit/>
                  </a:bodyPr>
                  <a:lstStyle/>
                  <a:p>
                    <a:pPr/>
                    <a:r>
                      <a:rPr lang="pt-BR" sz="30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a:t>x^T y</a:t>
                    </a:r>
                    <a:endParaRPr lang="LID4096" sz="3000" i="0">
                      <a:latin typeface="Arial" panose="020B0604020202020204" pitchFamily="34" charset="0"/>
                      <a:ea typeface="Cambria" panose="02040503050406030204" pitchFamily="18" charset="0"/>
                      <a:cs typeface="Arial" panose="020B0604020202020204" pitchFamily="34" charset="0"/>
                    </a:endParaRPr>
                  </a:p>
                </xdr:txBody>
              </xdr:sp>
            </mc:Fallback>
          </mc:AlternateContent>
          <mc:AlternateContent xmlns:mc="http://schemas.openxmlformats.org/markup-compatibility/2006" xmlns:a14="http://schemas.microsoft.com/office/drawing/2010/main">
            <mc:Choice Requires="a14">
              <xdr:sp macro="" textlink="">
                <xdr:nvSpPr>
                  <xdr:cNvPr id="25" name="TextBox 24">
                    <a:extLst>
                      <a:ext uri="{FF2B5EF4-FFF2-40B4-BE49-F238E27FC236}">
                        <a16:creationId xmlns:a16="http://schemas.microsoft.com/office/drawing/2014/main" id="{1CB5A40F-BC39-DA4A-5C12-8CB5BF3E6FD1}"/>
                      </a:ext>
                    </a:extLst>
                  </xdr:cNvPr>
                  <xdr:cNvSpPr txBox="1"/>
                </xdr:nvSpPr>
                <xdr:spPr>
                  <a:xfrm>
                    <a:off x="12372975" y="6324600"/>
                    <a:ext cx="697775" cy="475487"/>
                  </a:xfrm>
                  <a:prstGeom prst="rect">
                    <a:avLst/>
                  </a:prstGeom>
                  <a:solidFill>
                    <a:schemeClr val="bg1">
                      <a:lumMod val="85000"/>
                    </a:schemeClr>
                  </a:solidFill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  <xdr:txBody>
                  <a:bodyPr vertOverflow="clip" horzOverflow="clip" wrap="none" lIns="0" tIns="0" rIns="0" bIns="0" rtlCol="0" anchor="t">
                    <a:spAutoFit/>
                  </a:bodyPr>
                  <a:lstStyle/>
                  <a:p>
                    <a:pPr/>
                    <a14:m>
                      <m:oMathPara xmlns:m="http://schemas.openxmlformats.org/officeDocument/2006/math">
                        <m:oMathParaPr>
                          <m:jc m:val="centerGroup"/>
                        </m:oMathParaPr>
                        <m:oMath xmlns:m="http://schemas.openxmlformats.org/officeDocument/2006/math">
                          <m:sSup>
                            <m:sSupPr>
                              <m:ctrlPr>
                                <a:rPr lang="pt-BR" sz="3000" b="0" i="1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m:rPr>
                                  <m:sty m:val="p"/>
                                </m:rPr>
                                <a:rPr lang="pt-BR" sz="3000" b="0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cs typeface="+mn-cs"/>
                                </a:rPr>
                                <m:t>x</m:t>
                              </m:r>
                            </m:e>
                            <m:sup>
                              <m:r>
                                <m:rPr>
                                  <m:sty m:val="p"/>
                                </m:rPr>
                                <a:rPr lang="pt-BR" sz="3000" b="0" i="0">
                                  <a:solidFill>
                                    <a:srgbClr val="FF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cs typeface="+mn-cs"/>
                                </a:rPr>
                                <m:t>T</m:t>
                              </m:r>
                            </m:sup>
                          </m:sSup>
                          <m:r>
                            <m:rPr>
                              <m:sty m:val="p"/>
                            </m:rPr>
                            <a:rPr lang="pt-BR" sz="3000" b="0" i="0">
                              <a:solidFill>
                                <a:srgbClr val="FF0000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x</m:t>
                          </m:r>
                        </m:oMath>
                      </m:oMathPara>
                    </a14:m>
                    <a:endParaRPr lang="LID4096" sz="3000" i="0">
                      <a:solidFill>
                        <a:srgbClr val="FF0000"/>
                      </a:solidFill>
                      <a:latin typeface="Arial" panose="020B0604020202020204" pitchFamily="34" charset="0"/>
                      <a:ea typeface="Cambria" panose="02040503050406030204" pitchFamily="18" charset="0"/>
                      <a:cs typeface="Arial" panose="020B0604020202020204" pitchFamily="34" charset="0"/>
                    </a:endParaRPr>
                  </a:p>
                </xdr:txBody>
              </xdr:sp>
            </mc:Choice>
            <mc:Fallback xmlns="">
              <xdr:sp macro="" textlink="">
                <xdr:nvSpPr>
                  <xdr:cNvPr id="25" name="TextBox 24">
                    <a:extLst>
                      <a:ext uri="{FF2B5EF4-FFF2-40B4-BE49-F238E27FC236}">
                        <a16:creationId xmlns:a16="http://schemas.microsoft.com/office/drawing/2014/main" id="{1CB5A40F-BC39-DA4A-5C12-8CB5BF3E6FD1}"/>
                      </a:ext>
                    </a:extLst>
                  </xdr:cNvPr>
                  <xdr:cNvSpPr txBox="1"/>
                </xdr:nvSpPr>
                <xdr:spPr>
                  <a:xfrm>
                    <a:off x="12372975" y="6324600"/>
                    <a:ext cx="697775" cy="475487"/>
                  </a:xfrm>
                  <a:prstGeom prst="rect">
                    <a:avLst/>
                  </a:prstGeom>
                  <a:solidFill>
                    <a:schemeClr val="bg1">
                      <a:lumMod val="85000"/>
                    </a:schemeClr>
                  </a:solidFill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  <xdr:txBody>
                  <a:bodyPr vertOverflow="clip" horzOverflow="clip" wrap="none" lIns="0" tIns="0" rIns="0" bIns="0" rtlCol="0" anchor="t">
                    <a:spAutoFit/>
                  </a:bodyPr>
                  <a:lstStyle/>
                  <a:p>
                    <a:pPr/>
                    <a:r>
                      <a:rPr lang="pt-BR" sz="3000" b="0" i="0">
                        <a:solidFill>
                          <a:srgbClr val="FF0000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a:t>x^T x</a:t>
                    </a:r>
                    <a:endParaRPr lang="LID4096" sz="3000" i="0">
                      <a:solidFill>
                        <a:srgbClr val="FF0000"/>
                      </a:solidFill>
                      <a:latin typeface="Arial" panose="020B0604020202020204" pitchFamily="34" charset="0"/>
                      <a:ea typeface="Cambria" panose="02040503050406030204" pitchFamily="18" charset="0"/>
                      <a:cs typeface="Arial" panose="020B0604020202020204" pitchFamily="34" charset="0"/>
                    </a:endParaRPr>
                  </a:p>
                </xdr:txBody>
              </xdr:sp>
            </mc:Fallback>
          </mc:AlternateContent>
        </xdr:grp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9A830AE9-6FE1-C03E-79A3-6B6F87FEBFFA}"/>
                    </a:ext>
                  </a:extLst>
                </xdr:cNvPr>
                <xdr:cNvSpPr txBox="1"/>
              </xdr:nvSpPr>
              <xdr:spPr>
                <a:xfrm>
                  <a:off x="14954250" y="3876675"/>
                  <a:ext cx="726096" cy="478401"/>
                </a:xfrm>
                <a:prstGeom prst="rect">
                  <a:avLst/>
                </a:prstGeom>
                <a:solidFill>
                  <a:schemeClr val="bg1">
                    <a:lumMod val="85000"/>
                  </a:scheme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p>
                          <m:sSupPr>
                            <m:ctrlPr>
                              <a:rPr lang="pt-BR" sz="3000" b="0" i="1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pt-BR" sz="3000" b="0" i="0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x</m:t>
                            </m:r>
                          </m:e>
                          <m:sup>
                            <m:r>
                              <m:rPr>
                                <m:sty m:val="p"/>
                              </m:rPr>
                              <a:rPr lang="pt-BR" sz="3000" b="0" i="0">
                                <a:solidFill>
                                  <a:srgbClr val="FF0000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T</m:t>
                            </m:r>
                          </m:sup>
                        </m:sSup>
                        <m:r>
                          <m:rPr>
                            <m:sty m:val="p"/>
                          </m:rPr>
                          <a:rPr lang="pt-BR" sz="3000" b="0" i="0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x</m:t>
                        </m:r>
                      </m:oMath>
                    </m:oMathPara>
                  </a14:m>
                  <a:endParaRPr lang="LID4096" sz="3000" i="0">
                    <a:solidFill>
                      <a:srgbClr val="FF0000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endParaRPr>
                </a:p>
              </xdr:txBody>
            </xdr:sp>
          </mc:Choice>
          <mc:Fallback xmlns=""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9A830AE9-6FE1-C03E-79A3-6B6F87FEBFFA}"/>
                    </a:ext>
                  </a:extLst>
                </xdr:cNvPr>
                <xdr:cNvSpPr txBox="1"/>
              </xdr:nvSpPr>
              <xdr:spPr>
                <a:xfrm>
                  <a:off x="14954250" y="3876675"/>
                  <a:ext cx="726096" cy="478401"/>
                </a:xfrm>
                <a:prstGeom prst="rect">
                  <a:avLst/>
                </a:prstGeom>
                <a:solidFill>
                  <a:schemeClr val="bg1">
                    <a:lumMod val="85000"/>
                  </a:scheme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noAutofit/>
                </a:bodyPr>
                <a:lstStyle/>
                <a:p>
                  <a:pPr/>
                  <a:r>
                    <a:rPr lang="pt-BR" sz="3000" b="0" i="0">
                      <a:solidFill>
                        <a:srgbClr val="FF0000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x^T x</a:t>
                  </a:r>
                  <a:endParaRPr lang="LID4096" sz="3000" i="0">
                    <a:solidFill>
                      <a:srgbClr val="FF0000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endParaRP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CC4BB6A9-D116-8286-46FE-1ED20AF4188E}"/>
                    </a:ext>
                  </a:extLst>
                </xdr:cNvPr>
                <xdr:cNvSpPr txBox="1"/>
              </xdr:nvSpPr>
              <xdr:spPr>
                <a:xfrm>
                  <a:off x="15001875" y="3429000"/>
                  <a:ext cx="731547" cy="478401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sSup>
                          <m:sSupPr>
                            <m:ctrlPr>
                              <a:rPr lang="pt-BR" sz="3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pt-BR" sz="30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x</m:t>
                            </m:r>
                          </m:e>
                          <m:sup>
                            <m:r>
                              <m:rPr>
                                <m:sty m:val="p"/>
                              </m:rPr>
                              <a:rPr lang="pt-BR" sz="30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T</m:t>
                            </m:r>
                          </m:sup>
                        </m:sSup>
                        <m:r>
                          <m:rPr>
                            <m:sty m:val="p"/>
                          </m:rPr>
                          <a:rPr lang="pt-BR" sz="30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y</m:t>
                        </m:r>
                      </m:oMath>
                    </m:oMathPara>
                  </a14:m>
                  <a:endParaRPr lang="LID4096" sz="3000" i="0"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endParaRPr>
                </a:p>
              </xdr:txBody>
            </xdr:sp>
          </mc:Choice>
          <mc:Fallback xmlns=""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CC4BB6A9-D116-8286-46FE-1ED20AF4188E}"/>
                    </a:ext>
                  </a:extLst>
                </xdr:cNvPr>
                <xdr:cNvSpPr txBox="1"/>
              </xdr:nvSpPr>
              <xdr:spPr>
                <a:xfrm>
                  <a:off x="15001875" y="3429000"/>
                  <a:ext cx="731547" cy="478401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noAutofit/>
                </a:bodyPr>
                <a:lstStyle/>
                <a:p>
                  <a:pPr/>
                  <a:r>
                    <a:rPr lang="pt-BR" sz="30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x^T y</a:t>
                  </a:r>
                  <a:endParaRPr lang="LID4096" sz="3000" i="0"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endParaRPr>
                </a:p>
              </xdr:txBody>
            </xdr:sp>
          </mc:Fallback>
        </mc:AlternateContent>
      </xdr:grp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2634F942-0E46-98B2-A50D-534E898A1D58}"/>
              </a:ext>
            </a:extLst>
          </xdr:cNvPr>
          <xdr:cNvCxnSpPr/>
        </xdr:nvCxnSpPr>
        <xdr:spPr>
          <a:xfrm>
            <a:off x="14135100" y="3352800"/>
            <a:ext cx="0" cy="100584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A0BE4CA5-BBE1-40C9-CAA0-B54392701DB8}"/>
              </a:ext>
            </a:extLst>
          </xdr:cNvPr>
          <xdr:cNvCxnSpPr/>
        </xdr:nvCxnSpPr>
        <xdr:spPr>
          <a:xfrm>
            <a:off x="15792450" y="3390900"/>
            <a:ext cx="0" cy="100584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66621</xdr:colOff>
      <xdr:row>23</xdr:row>
      <xdr:rowOff>35357</xdr:rowOff>
    </xdr:from>
    <xdr:to>
      <xdr:col>40</xdr:col>
      <xdr:colOff>372920</xdr:colOff>
      <xdr:row>38</xdr:row>
      <xdr:rowOff>99378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3A4315CE-8E70-482C-BB1F-2D9808AF556E}"/>
            </a:ext>
          </a:extLst>
        </xdr:cNvPr>
        <xdr:cNvGrpSpPr/>
      </xdr:nvGrpSpPr>
      <xdr:grpSpPr>
        <a:xfrm>
          <a:off x="11347534" y="3704553"/>
          <a:ext cx="3370864" cy="2515673"/>
          <a:chOff x="14171361" y="4672575"/>
          <a:chExt cx="3231544" cy="2115921"/>
        </a:xfrm>
      </xdr:grpSpPr>
      <xdr:grpSp>
        <xdr:nvGrpSpPr>
          <xdr:cNvPr id="27" name="Group 26">
            <a:extLst>
              <a:ext uri="{FF2B5EF4-FFF2-40B4-BE49-F238E27FC236}">
                <a16:creationId xmlns:a16="http://schemas.microsoft.com/office/drawing/2014/main" id="{41E04DF4-0943-91DF-6CEA-6D26905BBA88}"/>
              </a:ext>
            </a:extLst>
          </xdr:cNvPr>
          <xdr:cNvGrpSpPr/>
        </xdr:nvGrpSpPr>
        <xdr:grpSpPr>
          <a:xfrm>
            <a:off x="14171361" y="4672575"/>
            <a:ext cx="3231544" cy="2115921"/>
            <a:chOff x="14171361" y="4672575"/>
            <a:chExt cx="3231544" cy="2115921"/>
          </a:xfrm>
        </xdr:grpSpPr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29" name="TextBox 28">
                  <a:extLst>
                    <a:ext uri="{FF2B5EF4-FFF2-40B4-BE49-F238E27FC236}">
                      <a16:creationId xmlns:a16="http://schemas.microsoft.com/office/drawing/2014/main" id="{F96F2FBD-1732-6369-CD96-6861AB8683AF}"/>
                    </a:ext>
                  </a:extLst>
                </xdr:cNvPr>
                <xdr:cNvSpPr txBox="1"/>
              </xdr:nvSpPr>
              <xdr:spPr>
                <a:xfrm>
                  <a:off x="14172766" y="4672575"/>
                  <a:ext cx="3230139" cy="24474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sp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left"/>
                      </m:oMathParaPr>
                      <m:oMath xmlns:m="http://schemas.openxmlformats.org/officeDocument/2006/math">
                        <m:r>
                          <m:rPr>
                            <m:sty m:val="p"/>
                          </m:rPr>
                          <a:rPr lang="pt-BR" sz="1800" b="0" i="0">
                            <a:solidFill>
                              <a:srgbClr val="0000FF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Cd</m:t>
                        </m:r>
                        <m:r>
                          <a:rPr lang="pt-BR" sz="1800" b="0" i="0">
                            <a:solidFill>
                              <a:srgbClr val="0000FF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=1/(</m:t>
                        </m:r>
                        <m:r>
                          <m:rPr>
                            <m:sty m:val="p"/>
                          </m:rPr>
                          <a:rPr lang="pt-BR" sz="1800" b="0" i="0">
                            <a:solidFill>
                              <a:srgbClr val="00B05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n</m:t>
                        </m:r>
                        <m:r>
                          <a:rPr lang="pt-BR" sz="1800" b="0" i="0">
                            <a:solidFill>
                              <a:srgbClr val="00B05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−1)  </m:t>
                        </m:r>
                        <m:r>
                          <m:rPr>
                            <m:sty m:val="p"/>
                          </m:rPr>
                          <a:rPr lang="pt-BR" sz="18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ε</m:t>
                        </m:r>
                        <m:r>
                          <a:rPr lang="pt-BR" sz="18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pt-BR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8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d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pt-BR" sz="18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i</m:t>
                            </m:r>
                          </m:sub>
                        </m:sSub>
                        <m:r>
                          <a:rPr lang="pt-BR" sz="18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pt-BR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m:rPr>
                                <m:sty m:val="p"/>
                              </m:rPr>
                              <a:rPr lang="pt-BR" sz="18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d</m:t>
                            </m:r>
                          </m:e>
                        </m:acc>
                        <m:r>
                          <a:rPr lang="pt-BR" sz="18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)(</m:t>
                        </m:r>
                        <m:sSub>
                          <m:sSubPr>
                            <m:ctrlPr>
                              <a:rPr lang="pt-BR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8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d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pt-BR" sz="18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i</m:t>
                            </m:r>
                          </m:sub>
                        </m:sSub>
                        <m:r>
                          <a:rPr lang="pt-BR" sz="18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pt-BR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m:rPr>
                                <m:sty m:val="p"/>
                              </m:rPr>
                              <a:rPr lang="pt-BR" sz="18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d</m:t>
                            </m:r>
                          </m:e>
                        </m:acc>
                        <m:r>
                          <a:rPr lang="pt-BR" sz="18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oMath>
                    </m:oMathPara>
                  </a14:m>
                  <a:endParaRPr lang="LID4096" sz="1800" b="0" i="0"/>
                </a:p>
              </xdr:txBody>
            </xdr:sp>
          </mc:Choice>
          <mc:Fallback xmlns="">
            <xdr:sp macro="" textlink="">
              <xdr:nvSpPr>
                <xdr:cNvPr id="29" name="TextBox 28">
                  <a:extLst>
                    <a:ext uri="{FF2B5EF4-FFF2-40B4-BE49-F238E27FC236}">
                      <a16:creationId xmlns:a16="http://schemas.microsoft.com/office/drawing/2014/main" id="{F96F2FBD-1732-6369-CD96-6861AB8683AF}"/>
                    </a:ext>
                  </a:extLst>
                </xdr:cNvPr>
                <xdr:cNvSpPr txBox="1"/>
              </xdr:nvSpPr>
              <xdr:spPr>
                <a:xfrm>
                  <a:off x="14172766" y="4672575"/>
                  <a:ext cx="3230139" cy="24474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spAutoFit/>
                </a:bodyPr>
                <a:lstStyle/>
                <a:p>
                  <a:pPr/>
                  <a:r>
                    <a:rPr lang="pt-BR" sz="1800" b="0" i="0">
                      <a:solidFill>
                        <a:srgbClr val="0000FF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Cd=1/(</a:t>
                  </a:r>
                  <a:r>
                    <a:rPr lang="pt-BR" sz="1800" b="0" i="0">
                      <a:solidFill>
                        <a:srgbClr val="00B05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n−1)  </a:t>
                  </a:r>
                  <a:r>
                    <a:rPr lang="pt-BR" sz="18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ε</a:t>
                  </a:r>
                  <a:r>
                    <a:rPr lang="pt-BR" sz="18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(d_i−d ̅)(d_i−d ̅)</a:t>
                  </a:r>
                  <a:endParaRPr lang="LID4096" sz="1800" b="0" i="0"/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30" name="TextBox 29">
                  <a:extLst>
                    <a:ext uri="{FF2B5EF4-FFF2-40B4-BE49-F238E27FC236}">
                      <a16:creationId xmlns:a16="http://schemas.microsoft.com/office/drawing/2014/main" id="{30F6AAD4-80AF-159D-73E6-97D2760B18CB}"/>
                    </a:ext>
                  </a:extLst>
                </xdr:cNvPr>
                <xdr:cNvSpPr txBox="1"/>
              </xdr:nvSpPr>
              <xdr:spPr>
                <a:xfrm>
                  <a:off x="14171361" y="5017831"/>
                  <a:ext cx="1266398" cy="704341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spAutoFit/>
                </a:bodyPr>
                <a:lstStyle/>
                <a:p>
                  <a:pPr algn="l"/>
                  <a14:m>
                    <m:oMathPara xmlns:m="http://schemas.openxmlformats.org/officeDocument/2006/math">
                      <m:oMathParaPr>
                        <m:jc m:val="left"/>
                      </m:oMathParaPr>
                      <m:oMath xmlns:m="http://schemas.openxmlformats.org/officeDocument/2006/math">
                        <m:r>
                          <m:rPr>
                            <m:sty m:val="p"/>
                          </m:rPr>
                          <a:rPr lang="pt-BR" sz="1800" b="0" i="0">
                            <a:solidFill>
                              <a:srgbClr val="0000FF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Cov</m:t>
                        </m:r>
                        <m:d>
                          <m:dPr>
                            <m:begChr m:val="{"/>
                            <m:endChr m:val="}"/>
                            <m:ctrlPr>
                              <a:rPr lang="pt-BR" sz="1800" b="0" i="1">
                                <a:solidFill>
                                  <a:srgbClr val="0000FF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m:rPr>
                                <m:sty m:val="p"/>
                              </m:rPr>
                              <a:rPr lang="pt-BR" sz="1800" b="0" i="0">
                                <a:solidFill>
                                  <a:srgbClr val="0000FF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x</m:t>
                            </m:r>
                            <m:r>
                              <a:rPr lang="pt-BR" sz="1800" b="0" i="0">
                                <a:solidFill>
                                  <a:srgbClr val="0000FF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m:rPr>
                                <m:sty m:val="p"/>
                              </m:rPr>
                              <a:rPr lang="pt-BR" sz="1800" b="0" i="0">
                                <a:solidFill>
                                  <a:srgbClr val="0000FF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y</m:t>
                            </m:r>
                          </m:e>
                        </m:d>
                      </m:oMath>
                    </m:oMathPara>
                  </a14:m>
                  <a:endParaRPr lang="pt-BR" sz="1800" b="0" i="0">
                    <a:solidFill>
                      <a:srgbClr val="0000FF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pPr algn="l"/>
                  <a14:m>
                    <m:oMathPara xmlns:m="http://schemas.openxmlformats.org/officeDocument/2006/math">
                      <m:oMathParaPr>
                        <m:jc m:val="left"/>
                      </m:oMathParaPr>
                      <m:oMath xmlns:m="http://schemas.openxmlformats.org/officeDocument/2006/math">
                        <m:r>
                          <a:rPr lang="pt-BR" sz="1800" b="0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pt-BR" sz="1800" b="0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∆</m:t>
                        </m:r>
                        <m:r>
                          <m:rPr>
                            <m:sty m:val="p"/>
                          </m:rPr>
                          <a:rPr lang="pt-BR" sz="1800" b="0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D</m:t>
                        </m:r>
                        <m:sSup>
                          <m:sSupPr>
                            <m:ctrlPr>
                              <a:rPr lang="pt-BR" sz="1800" b="0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800" b="0" i="0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∆</m:t>
                            </m:r>
                            <m:r>
                              <m:rPr>
                                <m:sty m:val="p"/>
                              </m:rPr>
                              <a:rPr lang="pt-BR" sz="1800" b="0" i="0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D</m:t>
                            </m:r>
                          </m:e>
                          <m:sup>
                            <m:r>
                              <m:rPr>
                                <m:sty m:val="p"/>
                              </m:rPr>
                              <a:rPr lang="pt-BR" sz="1800" b="0" i="0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T</m:t>
                            </m:r>
                          </m:sup>
                        </m:sSup>
                      </m:oMath>
                    </m:oMathPara>
                  </a14:m>
                  <a:endParaRPr lang="pt-BR" sz="1800" b="0" i="0">
                    <a:solidFill>
                      <a:sysClr val="windowText" lastClr="000000"/>
                    </a:solidFill>
                    <a:effectLst/>
                    <a:latin typeface="Arial" panose="020B0604020202020204" pitchFamily="34" charset="0"/>
                    <a:ea typeface="Cambria Math" panose="02040503050406030204" pitchFamily="18" charset="0"/>
                    <a:cs typeface="+mn-cs"/>
                  </a:endParaRPr>
                </a:p>
                <a:p>
                  <a:pPr algn="l"/>
                  <a14:m>
                    <m:oMathPara xmlns:m="http://schemas.openxmlformats.org/officeDocument/2006/math">
                      <m:oMathParaPr>
                        <m:jc m:val="left"/>
                      </m:oMathParaPr>
                      <m:oMath xmlns:m="http://schemas.openxmlformats.org/officeDocument/2006/math">
                        <m:r>
                          <a:rPr lang="pt-BR" sz="18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sSup>
                          <m:sSupPr>
                            <m:ctrlPr>
                              <a:rPr lang="pt-BR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pt-BR" sz="18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U</m:t>
                            </m:r>
                            <m:r>
                              <m:rPr>
                                <m:sty m:val="p"/>
                              </m:rPr>
                              <a:rPr lang="el-GR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Σ</m:t>
                            </m:r>
                            <m:r>
                              <m:rPr>
                                <m:sty m:val="p"/>
                              </m:rPr>
                              <a:rPr lang="pt-BR" sz="18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V</m:t>
                            </m:r>
                          </m:e>
                          <m:sup>
                            <m:r>
                              <m:rPr>
                                <m:sty m:val="p"/>
                              </m:rPr>
                              <a:rPr lang="pt-BR" sz="18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T</m:t>
                            </m:r>
                          </m:sup>
                        </m:sSup>
                      </m:oMath>
                    </m:oMathPara>
                  </a14:m>
                  <a:endParaRPr lang="LID4096" sz="1800" i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endParaRPr>
                </a:p>
              </xdr:txBody>
            </xdr:sp>
          </mc:Choice>
          <mc:Fallback xmlns="">
            <xdr:sp macro="" textlink="">
              <xdr:nvSpPr>
                <xdr:cNvPr id="30" name="TextBox 29">
                  <a:extLst>
                    <a:ext uri="{FF2B5EF4-FFF2-40B4-BE49-F238E27FC236}">
                      <a16:creationId xmlns:a16="http://schemas.microsoft.com/office/drawing/2014/main" id="{30F6AAD4-80AF-159D-73E6-97D2760B18CB}"/>
                    </a:ext>
                  </a:extLst>
                </xdr:cNvPr>
                <xdr:cNvSpPr txBox="1"/>
              </xdr:nvSpPr>
              <xdr:spPr>
                <a:xfrm>
                  <a:off x="14171361" y="5017831"/>
                  <a:ext cx="1266398" cy="704341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spAutoFit/>
                </a:bodyPr>
                <a:lstStyle/>
                <a:p>
                  <a:pPr algn="l"/>
                  <a:r>
                    <a:rPr lang="pt-BR" sz="1800" b="0" i="0">
                      <a:solidFill>
                        <a:srgbClr val="0000FF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Cov{x,y}</a:t>
                  </a:r>
                  <a:endParaRPr lang="pt-BR" sz="1800" b="0" i="0">
                    <a:solidFill>
                      <a:srgbClr val="0000FF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pPr algn="l"/>
                  <a:r>
                    <a:rPr lang="pt-BR" sz="1800" b="0" i="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</a:t>
                  </a:r>
                  <a:r>
                    <a:rPr lang="pt-BR" sz="1800" b="0" i="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∆D〖</a:t>
                  </a:r>
                  <a:r>
                    <a:rPr lang="pt-BR" sz="1800" b="0" i="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∆D</a:t>
                  </a:r>
                  <a:r>
                    <a:rPr lang="pt-BR" sz="1800" b="0" i="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〗^T</a:t>
                  </a:r>
                  <a:endParaRPr lang="pt-BR" sz="1800" b="0" i="0">
                    <a:solidFill>
                      <a:sysClr val="windowText" lastClr="000000"/>
                    </a:solidFill>
                    <a:effectLst/>
                    <a:latin typeface="Arial" panose="020B0604020202020204" pitchFamily="34" charset="0"/>
                    <a:ea typeface="Cambria Math" panose="02040503050406030204" pitchFamily="18" charset="0"/>
                    <a:cs typeface="+mn-cs"/>
                  </a:endParaRPr>
                </a:p>
                <a:p>
                  <a:pPr algn="l"/>
                  <a:r>
                    <a:rPr lang="pt-BR" sz="18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=〖U</a:t>
                  </a:r>
                  <a:r>
                    <a:rPr lang="el-GR" sz="18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Σ</a:t>
                  </a:r>
                  <a:r>
                    <a:rPr lang="pt-BR" sz="18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V〗^T</a:t>
                  </a:r>
                  <a:endParaRPr lang="LID4096" sz="1800" i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endParaRP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31" name="TextBox 30">
                  <a:extLst>
                    <a:ext uri="{FF2B5EF4-FFF2-40B4-BE49-F238E27FC236}">
                      <a16:creationId xmlns:a16="http://schemas.microsoft.com/office/drawing/2014/main" id="{E5B603BD-77A5-F3F0-90CE-6E022CFE03A4}"/>
                    </a:ext>
                  </a:extLst>
                </xdr:cNvPr>
                <xdr:cNvSpPr txBox="1"/>
              </xdr:nvSpPr>
              <xdr:spPr>
                <a:xfrm>
                  <a:off x="14212391" y="5985570"/>
                  <a:ext cx="2862902" cy="8029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right"/>
                      </m:oMathParaPr>
                      <m:oMath xmlns:m="http://schemas.openxmlformats.org/officeDocument/2006/math">
                        <m:r>
                          <a:rPr lang="pt-BR" sz="1800" b="1" i="0">
                            <a:solidFill>
                              <a:srgbClr val="00B050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∆</m:t>
                        </m:r>
                        <m:r>
                          <a:rPr lang="pt-BR" sz="1800" b="1" i="0">
                            <a:solidFill>
                              <a:srgbClr val="00B050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𝐃</m:t>
                        </m:r>
                        <m:r>
                          <a:rPr lang="pt-BR" sz="1800" b="1" i="0">
                            <a:solidFill>
                              <a:srgbClr val="00B050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=</m:t>
                        </m:r>
                        <m:f>
                          <m:fPr>
                            <m:ctrlPr>
                              <a:rPr lang="pt-BR" sz="1800" b="1" i="1">
                                <a:solidFill>
                                  <a:srgbClr val="00B050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pt-BR" sz="1800" b="1" i="0">
                                <a:solidFill>
                                  <a:srgbClr val="00B050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num>
                          <m:den>
                            <m:r>
                              <a:rPr lang="pt-BR" sz="1800" b="1" i="0">
                                <a:solidFill>
                                  <a:srgbClr val="00B05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𝐧</m:t>
                            </m:r>
                            <m:r>
                              <a:rPr lang="pt-BR" sz="1800" b="1" i="0">
                                <a:solidFill>
                                  <a:srgbClr val="00B05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pt-BR" sz="1800" b="1" i="0">
                                <a:solidFill>
                                  <a:srgbClr val="00B05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den>
                        </m:f>
                        <m:r>
                          <a:rPr lang="pt-BR" sz="1800" b="1" i="0">
                            <a:solidFill>
                              <a:srgbClr val="00B05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pt-BR" sz="1800" b="1" i="1">
                                <a:solidFill>
                                  <a:srgbClr val="00B05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pt-BR" sz="1800" b="1" i="0">
                                <a:solidFill>
                                  <a:srgbClr val="00B05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𝐝</m:t>
                            </m:r>
                          </m:e>
                          <m:sub>
                            <m:r>
                              <a:rPr lang="pt-BR" sz="1800" b="1" i="0">
                                <a:solidFill>
                                  <a:srgbClr val="00B05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𝐧</m:t>
                            </m:r>
                          </m:sub>
                        </m:sSub>
                        <m:r>
                          <a:rPr lang="pt-BR" sz="1800" b="1" i="0">
                            <a:solidFill>
                              <a:srgbClr val="00B05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pt-BR" sz="1800" b="1" i="1">
                                <a:solidFill>
                                  <a:srgbClr val="00B05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pt-BR" sz="1800" b="1" i="0">
                                <a:solidFill>
                                  <a:srgbClr val="00B05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𝐝</m:t>
                            </m:r>
                          </m:e>
                        </m:acc>
                        <m:r>
                          <a:rPr lang="pt-BR" sz="1800" b="1" i="0">
                            <a:solidFill>
                              <a:srgbClr val="00B05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oMath>
                    </m:oMathPara>
                  </a14:m>
                  <a:endParaRPr lang="LID4096" sz="1800" b="1" i="0">
                    <a:solidFill>
                      <a:srgbClr val="00B050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endParaRPr>
                </a:p>
              </xdr:txBody>
            </xdr:sp>
          </mc:Choice>
          <mc:Fallback xmlns="">
            <xdr:sp macro="" textlink="">
              <xdr:nvSpPr>
                <xdr:cNvPr id="31" name="TextBox 30">
                  <a:extLst>
                    <a:ext uri="{FF2B5EF4-FFF2-40B4-BE49-F238E27FC236}">
                      <a16:creationId xmlns:a16="http://schemas.microsoft.com/office/drawing/2014/main" id="{E5B603BD-77A5-F3F0-90CE-6E022CFE03A4}"/>
                    </a:ext>
                  </a:extLst>
                </xdr:cNvPr>
                <xdr:cNvSpPr txBox="1"/>
              </xdr:nvSpPr>
              <xdr:spPr>
                <a:xfrm>
                  <a:off x="14212391" y="5985570"/>
                  <a:ext cx="2862902" cy="8029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pt-BR" sz="1800" b="1" i="0">
                      <a:solidFill>
                        <a:srgbClr val="00B050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∆𝐃=𝟏/(</a:t>
                  </a:r>
                  <a:r>
                    <a:rPr lang="pt-BR" sz="1800" b="1" i="0">
                      <a:solidFill>
                        <a:srgbClr val="00B05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𝐧−𝟏</a:t>
                  </a:r>
                  <a:r>
                    <a:rPr lang="pt-BR" sz="1800" b="1" i="0">
                      <a:solidFill>
                        <a:srgbClr val="00B050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a:t>)</a:t>
                  </a:r>
                  <a:r>
                    <a:rPr lang="pt-BR" sz="1800" b="1" i="0">
                      <a:solidFill>
                        <a:srgbClr val="00B05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(𝐝_𝐧−𝐝 ̅)</a:t>
                  </a:r>
                  <a:endParaRPr lang="LID4096" sz="1800" b="1" i="0">
                    <a:solidFill>
                      <a:srgbClr val="00B050"/>
                    </a:solidFill>
                    <a:latin typeface="Arial" panose="020B0604020202020204" pitchFamily="34" charset="0"/>
                    <a:ea typeface="Cambria" panose="02040503050406030204" pitchFamily="18" charset="0"/>
                    <a:cs typeface="Arial" panose="020B0604020202020204" pitchFamily="34" charset="0"/>
                  </a:endParaRP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8" name="TextBox 27">
                <a:extLst>
                  <a:ext uri="{FF2B5EF4-FFF2-40B4-BE49-F238E27FC236}">
                    <a16:creationId xmlns:a16="http://schemas.microsoft.com/office/drawing/2014/main" id="{BFFB4217-E873-E0AC-6F3A-8A0030EFE724}"/>
                  </a:ext>
                </a:extLst>
              </xdr:cNvPr>
              <xdr:cNvSpPr txBox="1"/>
            </xdr:nvSpPr>
            <xdr:spPr>
              <a:xfrm>
                <a:off x="14171413" y="5760721"/>
                <a:ext cx="1118039" cy="29089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Sup>
                        <m:sSubSupPr>
                          <m:ctrlPr>
                            <a:rPr lang="pt-BR" sz="1800" b="1" i="1">
                              <a:solidFill>
                                <a:srgbClr val="0000FF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</m:ctrlPr>
                        </m:sSubSupPr>
                        <m:e>
                          <m:r>
                            <a:rPr lang="pt-BR" sz="1800" b="1" i="1">
                              <a:solidFill>
                                <a:srgbClr val="0000FF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𝑪</m:t>
                          </m:r>
                        </m:e>
                        <m:sub>
                          <m:r>
                            <a:rPr lang="pt-BR" sz="1800" b="1" i="1">
                              <a:solidFill>
                                <a:srgbClr val="0000FF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𝒅</m:t>
                          </m:r>
                        </m:sub>
                        <m:sup>
                          <m:r>
                            <a:rPr lang="pt-BR" sz="1800" b="1" i="1">
                              <a:solidFill>
                                <a:srgbClr val="0000FF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𝟏</m:t>
                          </m:r>
                          <m:r>
                            <a:rPr lang="pt-BR" sz="1800" b="1" i="1">
                              <a:solidFill>
                                <a:srgbClr val="0000FF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/</m:t>
                          </m:r>
                          <m:r>
                            <a:rPr lang="pt-BR" sz="1800" b="1" i="1">
                              <a:solidFill>
                                <a:srgbClr val="0000FF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𝟐</m:t>
                          </m:r>
                        </m:sup>
                      </m:sSubSup>
                      <m:r>
                        <a:rPr lang="pt-BR" sz="1800" b="1" i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= </m:t>
                      </m:r>
                      <m:r>
                        <a:rPr lang="pt-BR" sz="1800" b="1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𝐔</m:t>
                      </m:r>
                      <m:r>
                        <a:rPr lang="el-GR" sz="18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𝜮</m:t>
                      </m:r>
                    </m:oMath>
                  </m:oMathPara>
                </a14:m>
                <a:endParaRPr lang="LID4096" sz="1800" b="1" i="0">
                  <a:solidFill>
                    <a:sysClr val="windowText" lastClr="000000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endParaRPr>
              </a:p>
            </xdr:txBody>
          </xdr:sp>
        </mc:Choice>
        <mc:Fallback xmlns="">
          <xdr:sp macro="" textlink="">
            <xdr:nvSpPr>
              <xdr:cNvPr id="28" name="TextBox 27">
                <a:extLst>
                  <a:ext uri="{FF2B5EF4-FFF2-40B4-BE49-F238E27FC236}">
                    <a16:creationId xmlns:a16="http://schemas.microsoft.com/office/drawing/2014/main" id="{BFFB4217-E873-E0AC-6F3A-8A0030EFE724}"/>
                  </a:ext>
                </a:extLst>
              </xdr:cNvPr>
              <xdr:cNvSpPr txBox="1"/>
            </xdr:nvSpPr>
            <xdr:spPr>
              <a:xfrm>
                <a:off x="14171413" y="5760721"/>
                <a:ext cx="1118039" cy="29089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:r>
                  <a:rPr lang="pt-BR" sz="1800" b="1" i="0">
                    <a:solidFill>
                      <a:srgbClr val="0000FF"/>
                    </a:solidFill>
                    <a:effectLst/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rPr>
                  <a:t>𝑪_𝒅^(𝟏/𝟐)</a:t>
                </a:r>
                <a:r>
                  <a:rPr lang="pt-BR" sz="1800" b="1" i="0">
                    <a:solidFill>
                      <a:sysClr val="windowText" lastClr="000000"/>
                    </a:solidFill>
                    <a:effectLst/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rPr>
                  <a:t>= </a:t>
                </a:r>
                <a:r>
                  <a:rPr lang="pt-BR" sz="18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𝐔</a:t>
                </a:r>
                <a:r>
                  <a:rPr lang="el-GR" sz="18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𝜮</a:t>
                </a:r>
                <a:endParaRPr lang="LID4096" sz="1800" b="1" i="0">
                  <a:solidFill>
                    <a:sysClr val="windowText" lastClr="000000"/>
                  </a:solidFill>
                  <a:latin typeface="Arial" panose="020B0604020202020204" pitchFamily="34" charset="0"/>
                  <a:ea typeface="Cambria" panose="02040503050406030204" pitchFamily="18" charset="0"/>
                  <a:cs typeface="Arial" panose="020B0604020202020204" pitchFamily="34" charset="0"/>
                </a:endParaRPr>
              </a:p>
            </xdr:txBody>
          </xdr:sp>
        </mc:Fallback>
      </mc:AlternateContent>
    </xdr:grpSp>
    <xdr:clientData/>
  </xdr:twoCellAnchor>
  <xdr:twoCellAnchor>
    <xdr:from>
      <xdr:col>0</xdr:col>
      <xdr:colOff>0</xdr:colOff>
      <xdr:row>4</xdr:row>
      <xdr:rowOff>9525</xdr:rowOff>
    </xdr:from>
    <xdr:to>
      <xdr:col>8</xdr:col>
      <xdr:colOff>47625</xdr:colOff>
      <xdr:row>46</xdr:row>
      <xdr:rowOff>17144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3A1A513E-39A2-4EA1-BAA3-8C7567684174}"/>
            </a:ext>
          </a:extLst>
        </xdr:cNvPr>
        <xdr:cNvSpPr/>
      </xdr:nvSpPr>
      <xdr:spPr>
        <a:xfrm>
          <a:off x="0" y="542925"/>
          <a:ext cx="657225" cy="6998969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13</xdr:col>
      <xdr:colOff>111461</xdr:colOff>
      <xdr:row>2</xdr:row>
      <xdr:rowOff>107205</xdr:rowOff>
    </xdr:from>
    <xdr:to>
      <xdr:col>15</xdr:col>
      <xdr:colOff>73362</xdr:colOff>
      <xdr:row>4</xdr:row>
      <xdr:rowOff>30599</xdr:rowOff>
    </xdr:to>
    <xdr:sp macro="" textlink="">
      <xdr:nvSpPr>
        <xdr:cNvPr id="33" name="Arrow: Left-Right 32">
          <a:extLst>
            <a:ext uri="{FF2B5EF4-FFF2-40B4-BE49-F238E27FC236}">
              <a16:creationId xmlns:a16="http://schemas.microsoft.com/office/drawing/2014/main" id="{AFE17BD2-4227-4E2A-96CA-6D272B91909D}"/>
            </a:ext>
          </a:extLst>
        </xdr:cNvPr>
        <xdr:cNvSpPr/>
      </xdr:nvSpPr>
      <xdr:spPr>
        <a:xfrm>
          <a:off x="2159336" y="373905"/>
          <a:ext cx="533401" cy="190094"/>
        </a:xfrm>
        <a:prstGeom prst="leftRightArrow">
          <a:avLst>
            <a:gd name="adj1" fmla="val 43103"/>
            <a:gd name="adj2" fmla="val 70690"/>
          </a:avLst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LID4096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116369</xdr:colOff>
      <xdr:row>2</xdr:row>
      <xdr:rowOff>833</xdr:rowOff>
    </xdr:from>
    <xdr:to>
      <xdr:col>30</xdr:col>
      <xdr:colOff>38099</xdr:colOff>
      <xdr:row>4</xdr:row>
      <xdr:rowOff>20298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ADE8EBE1-176F-49AB-84AE-9322645D5551}"/>
            </a:ext>
          </a:extLst>
        </xdr:cNvPr>
        <xdr:cNvGrpSpPr/>
      </xdr:nvGrpSpPr>
      <xdr:grpSpPr>
        <a:xfrm>
          <a:off x="6999217" y="265876"/>
          <a:ext cx="2075208" cy="284509"/>
          <a:chOff x="10144580" y="2667000"/>
          <a:chExt cx="1961695" cy="314690"/>
        </a:xfrm>
      </xdr:grpSpPr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2C5650BA-9BD8-908A-11CC-97672928F97F}"/>
              </a:ext>
            </a:extLst>
          </xdr:cNvPr>
          <xdr:cNvSpPr txBox="1"/>
        </xdr:nvSpPr>
        <xdr:spPr>
          <a:xfrm>
            <a:off x="10391775" y="2667000"/>
            <a:ext cx="1714500" cy="3143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/>
          <a:lstStyle/>
          <a:p>
            <a:pPr algn="r"/>
            <a:r>
              <a:rPr lang="pt-BR" sz="1500" b="1"/>
              <a:t>Covariance matrix</a:t>
            </a:r>
            <a:endParaRPr lang="LID4096" sz="1500" b="1"/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9D0A8C28-BD6F-B011-98DD-432A476C598B}"/>
              </a:ext>
            </a:extLst>
          </xdr:cNvPr>
          <xdr:cNvSpPr txBox="1"/>
        </xdr:nvSpPr>
        <xdr:spPr>
          <a:xfrm>
            <a:off x="10144580" y="2667364"/>
            <a:ext cx="657225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/>
          <a:lstStyle/>
          <a:p>
            <a:pPr algn="l"/>
            <a:r>
              <a:rPr lang="pt-BR" sz="1300" b="1">
                <a:solidFill>
                  <a:schemeClr val="bg1"/>
                </a:solidFill>
              </a:rPr>
              <a:t>OUT</a:t>
            </a:r>
            <a:endParaRPr lang="LID4096" sz="13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10</xdr:col>
      <xdr:colOff>38100</xdr:colOff>
      <xdr:row>1</xdr:row>
      <xdr:rowOff>104775</xdr:rowOff>
    </xdr:from>
    <xdr:to>
      <xdr:col>11</xdr:col>
      <xdr:colOff>8283</xdr:colOff>
      <xdr:row>4</xdr:row>
      <xdr:rowOff>19050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5D808C6-4B52-4598-BDC5-604ED542025E}"/>
            </a:ext>
          </a:extLst>
        </xdr:cNvPr>
        <xdr:cNvSpPr txBox="1"/>
      </xdr:nvSpPr>
      <xdr:spPr>
        <a:xfrm>
          <a:off x="771525" y="238125"/>
          <a:ext cx="408333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 anchorCtr="0"/>
        <a:lstStyle/>
        <a:p>
          <a:pPr algn="l"/>
          <a:r>
            <a:rPr lang="pt-BR" sz="1500" b="1">
              <a:solidFill>
                <a:schemeClr val="bg1"/>
              </a:solidFill>
            </a:rPr>
            <a:t>IN</a:t>
          </a:r>
          <a:endParaRPr lang="LID4096" sz="15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95250</xdr:colOff>
      <xdr:row>0</xdr:row>
      <xdr:rowOff>57151</xdr:rowOff>
    </xdr:from>
    <xdr:to>
      <xdr:col>2</xdr:col>
      <xdr:colOff>0</xdr:colOff>
      <xdr:row>1</xdr:row>
      <xdr:rowOff>95251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AFD1B15-063E-43E0-B89D-1BA2709E3D5C}"/>
            </a:ext>
          </a:extLst>
        </xdr:cNvPr>
        <xdr:cNvSpPr txBox="1"/>
      </xdr:nvSpPr>
      <xdr:spPr>
        <a:xfrm>
          <a:off x="95250" y="57151"/>
          <a:ext cx="171450" cy="17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algn="ctr"/>
          <a:r>
            <a:rPr lang="pt-BR" sz="1500" b="1"/>
            <a:t>F</a:t>
          </a:r>
          <a:r>
            <a:rPr lang="pt-BR" sz="1500" b="1" baseline="10000"/>
            <a:t>9</a:t>
          </a:r>
          <a:endParaRPr lang="LID4096" sz="1500" b="1" baseline="10000"/>
        </a:p>
      </xdr:txBody>
    </xdr:sp>
    <xdr:clientData/>
  </xdr:twoCellAnchor>
  <xdr:twoCellAnchor>
    <xdr:from>
      <xdr:col>14</xdr:col>
      <xdr:colOff>400049</xdr:colOff>
      <xdr:row>3</xdr:row>
      <xdr:rowOff>76200</xdr:rowOff>
    </xdr:from>
    <xdr:to>
      <xdr:col>16</xdr:col>
      <xdr:colOff>47625</xdr:colOff>
      <xdr:row>4</xdr:row>
      <xdr:rowOff>133349</xdr:rowOff>
    </xdr:to>
    <xdr:sp macro="" textlink="">
      <xdr:nvSpPr>
        <xdr:cNvPr id="39" name="Arrow: Left-Right 38">
          <a:extLst>
            <a:ext uri="{FF2B5EF4-FFF2-40B4-BE49-F238E27FC236}">
              <a16:creationId xmlns:a16="http://schemas.microsoft.com/office/drawing/2014/main" id="{BCD1129D-C18F-463C-B5C1-F6760E49A55F}"/>
            </a:ext>
          </a:extLst>
        </xdr:cNvPr>
        <xdr:cNvSpPr/>
      </xdr:nvSpPr>
      <xdr:spPr>
        <a:xfrm>
          <a:off x="2581274" y="476250"/>
          <a:ext cx="523876" cy="190499"/>
        </a:xfrm>
        <a:prstGeom prst="leftRightArrow">
          <a:avLst>
            <a:gd name="adj1" fmla="val 43103"/>
            <a:gd name="adj2" fmla="val 70690"/>
          </a:avLst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LID4096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74543</xdr:colOff>
      <xdr:row>8</xdr:row>
      <xdr:rowOff>24843</xdr:rowOff>
    </xdr:from>
    <xdr:to>
      <xdr:col>30</xdr:col>
      <xdr:colOff>57979</xdr:colOff>
      <xdr:row>10</xdr:row>
      <xdr:rowOff>10848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18F7802-90AA-403D-8391-2E4D2DB10180}"/>
            </a:ext>
          </a:extLst>
        </xdr:cNvPr>
        <xdr:cNvSpPr txBox="1"/>
      </xdr:nvSpPr>
      <xdr:spPr>
        <a:xfrm>
          <a:off x="7084943" y="1320243"/>
          <a:ext cx="2012261" cy="290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 anchorCtr="0"/>
        <a:lstStyle/>
        <a:p>
          <a:pPr algn="r"/>
          <a:r>
            <a:rPr lang="pt-BR" sz="1300" b="1"/>
            <a:t>Correlation coeffitient</a:t>
          </a:r>
          <a:endParaRPr lang="LID4096" sz="1300" b="1"/>
        </a:p>
      </xdr:txBody>
    </xdr:sp>
    <xdr:clientData/>
  </xdr:twoCellAnchor>
  <xdr:twoCellAnchor>
    <xdr:from>
      <xdr:col>10</xdr:col>
      <xdr:colOff>75782</xdr:colOff>
      <xdr:row>1</xdr:row>
      <xdr:rowOff>48039</xdr:rowOff>
    </xdr:from>
    <xdr:to>
      <xdr:col>33</xdr:col>
      <xdr:colOff>569425</xdr:colOff>
      <xdr:row>38</xdr:row>
      <xdr:rowOff>93591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32ED1B3F-402B-470D-9BDE-864E6E69AE4F}"/>
            </a:ext>
          </a:extLst>
        </xdr:cNvPr>
        <xdr:cNvGrpSpPr/>
      </xdr:nvGrpSpPr>
      <xdr:grpSpPr>
        <a:xfrm>
          <a:off x="821217" y="180561"/>
          <a:ext cx="10093186" cy="6033878"/>
          <a:chOff x="821220" y="246822"/>
          <a:chExt cx="10093186" cy="6033878"/>
        </a:xfrm>
      </xdr:grpSpPr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71136085-9D8A-6DED-C1AB-DA06113246F4}"/>
              </a:ext>
            </a:extLst>
          </xdr:cNvPr>
          <xdr:cNvGrpSpPr/>
        </xdr:nvGrpSpPr>
        <xdr:grpSpPr>
          <a:xfrm>
            <a:off x="7405892" y="246822"/>
            <a:ext cx="3508514" cy="6033878"/>
            <a:chOff x="10456287" y="266700"/>
            <a:chExt cx="3514726" cy="6048374"/>
          </a:xfrm>
        </xdr:grpSpPr>
        <xdr:graphicFrame macro="">
          <xdr:nvGraphicFramePr>
            <xdr:cNvPr id="55" name="Chart 54">
              <a:extLst>
                <a:ext uri="{FF2B5EF4-FFF2-40B4-BE49-F238E27FC236}">
                  <a16:creationId xmlns:a16="http://schemas.microsoft.com/office/drawing/2014/main" id="{A752752B-8214-97E3-61DE-C329D3E62F43}"/>
                </a:ext>
              </a:extLst>
            </xdr:cNvPr>
            <xdr:cNvGraphicFramePr>
              <a:graphicFrameLocks/>
            </xdr:cNvGraphicFramePr>
          </xdr:nvGraphicFramePr>
          <xdr:xfrm>
            <a:off x="12222367" y="266700"/>
            <a:ext cx="1748646" cy="293244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graphicFrame macro="">
          <xdr:nvGraphicFramePr>
            <xdr:cNvPr id="56" name="Chart 55">
              <a:extLst>
                <a:ext uri="{FF2B5EF4-FFF2-40B4-BE49-F238E27FC236}">
                  <a16:creationId xmlns:a16="http://schemas.microsoft.com/office/drawing/2014/main" id="{FD6A47EB-C593-FA24-BC81-BB4E7B7FB706}"/>
                </a:ext>
              </a:extLst>
            </xdr:cNvPr>
            <xdr:cNvGraphicFramePr>
              <a:graphicFrameLocks/>
            </xdr:cNvGraphicFramePr>
          </xdr:nvGraphicFramePr>
          <xdr:xfrm>
            <a:off x="10456287" y="3290473"/>
            <a:ext cx="3514724" cy="302460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0175DB3C-480C-42CE-48A7-BAC1747E6405}"/>
              </a:ext>
            </a:extLst>
          </xdr:cNvPr>
          <xdr:cNvGrpSpPr>
            <a:grpSpLocks noChangeAspect="1"/>
          </xdr:cNvGrpSpPr>
        </xdr:nvGrpSpPr>
        <xdr:grpSpPr>
          <a:xfrm>
            <a:off x="821220" y="2963519"/>
            <a:ext cx="6525454" cy="3314700"/>
            <a:chOff x="1781174" y="2809876"/>
            <a:chExt cx="6869587" cy="3467100"/>
          </a:xfrm>
        </xdr:grpSpPr>
        <xdr:pic>
          <xdr:nvPicPr>
            <xdr:cNvPr id="50" name="Picture 49">
              <a:extLst>
                <a:ext uri="{FF2B5EF4-FFF2-40B4-BE49-F238E27FC236}">
                  <a16:creationId xmlns:a16="http://schemas.microsoft.com/office/drawing/2014/main" id="{BE9F2DA5-3166-7E82-6FD7-ADA6B410CFD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781174" y="2809876"/>
              <a:ext cx="6867525" cy="3467100"/>
            </a:xfrm>
            <a:prstGeom prst="rect">
              <a:avLst/>
            </a:prstGeom>
            <a:ln>
              <a:solidFill>
                <a:schemeClr val="tx1"/>
              </a:solidFill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</xdr:pic>
        <xdr:grpSp>
          <xdr:nvGrpSpPr>
            <xdr:cNvPr id="51" name="Group 50">
              <a:extLst>
                <a:ext uri="{FF2B5EF4-FFF2-40B4-BE49-F238E27FC236}">
                  <a16:creationId xmlns:a16="http://schemas.microsoft.com/office/drawing/2014/main" id="{1648E759-AC58-02B1-F4B3-BA8AF44FB41A}"/>
                </a:ext>
              </a:extLst>
            </xdr:cNvPr>
            <xdr:cNvGrpSpPr/>
          </xdr:nvGrpSpPr>
          <xdr:grpSpPr>
            <a:xfrm>
              <a:off x="3581399" y="4143375"/>
              <a:ext cx="5069362" cy="2114552"/>
              <a:chOff x="10224575" y="2962275"/>
              <a:chExt cx="5372312" cy="2114552"/>
            </a:xfrm>
          </xdr:grpSpPr>
          <xdr:sp macro="" textlink="">
            <xdr:nvSpPr>
              <xdr:cNvPr id="52" name="Rectangle 51">
                <a:extLst>
                  <a:ext uri="{FF2B5EF4-FFF2-40B4-BE49-F238E27FC236}">
                    <a16:creationId xmlns:a16="http://schemas.microsoft.com/office/drawing/2014/main" id="{9A207872-1995-6483-F1B5-1ED9D0032134}"/>
                  </a:ext>
                </a:extLst>
              </xdr:cNvPr>
              <xdr:cNvSpPr/>
            </xdr:nvSpPr>
            <xdr:spPr>
              <a:xfrm>
                <a:off x="10224575" y="3867150"/>
                <a:ext cx="1604983" cy="1181099"/>
              </a:xfrm>
              <a:prstGeom prst="rect">
                <a:avLst/>
              </a:prstGeom>
              <a:noFill/>
              <a:ln w="76200">
                <a:solidFill>
                  <a:srgbClr val="00FF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LID4096" sz="1100"/>
              </a:p>
            </xdr:txBody>
          </xdr:sp>
          <mc:AlternateContent xmlns:mc="http://schemas.openxmlformats.org/markup-compatibility/2006" xmlns:a14="http://schemas.microsoft.com/office/drawing/2010/main">
            <mc:Choice Requires="a14">
              <xdr:sp macro="" textlink="">
                <xdr:nvSpPr>
                  <xdr:cNvPr id="53" name="TextBox 52">
                    <a:extLst>
                      <a:ext uri="{FF2B5EF4-FFF2-40B4-BE49-F238E27FC236}">
                        <a16:creationId xmlns:a16="http://schemas.microsoft.com/office/drawing/2014/main" id="{A3B72379-C875-6C5D-377E-CE3FD955CF65}"/>
                      </a:ext>
                    </a:extLst>
                  </xdr:cNvPr>
                  <xdr:cNvSpPr txBox="1"/>
                </xdr:nvSpPr>
                <xdr:spPr>
                  <a:xfrm>
                    <a:off x="12082161" y="2962275"/>
                    <a:ext cx="3514726" cy="733425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>
                    <a:solidFill>
                      <a:schemeClr val="tx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  <xdr:txBody>
                  <a:bodyPr vertOverflow="clip" horzOverflow="clip" wrap="none" lIns="0" tIns="0" rIns="0" bIns="0" rtlCol="0" anchor="ctr" anchorCtr="0">
                    <a:noAutofit/>
                  </a:bodyPr>
                  <a:lstStyle/>
                  <a:p>
                    <a:pPr algn="ctr"/>
                    <a:r>
                      <a:rPr lang="pt-BR" sz="1400" b="1" i="1">
                        <a:solidFill>
                          <a:schemeClr val="tx1"/>
                        </a:solidFill>
                        <a:effectLst/>
                        <a:latin typeface="+mn-lt"/>
                        <a:ea typeface="Cambria Math" panose="02040503050406030204" pitchFamily="18" charset="0"/>
                        <a:cs typeface="+mn-cs"/>
                      </a:rPr>
                      <a:t>cov</a:t>
                    </a:r>
                    <a14:m>
                      <m:oMath xmlns:m="http://schemas.openxmlformats.org/officeDocument/2006/math">
                        <m:d>
                          <m:dPr>
                            <m:ctrlP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14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𝐗</m:t>
                            </m:r>
                            <m:r>
                              <a:rPr lang="pt-BR" sz="14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pt-BR" sz="14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𝐘</m:t>
                            </m:r>
                          </m:e>
                        </m:d>
                        <m:r>
                          <a:rPr lang="pt-BR" sz="14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=</m:t>
                        </m:r>
                        <m:f>
                          <m:fPr>
                            <m:ctrlP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num>
                          <m:den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𝒏</m:t>
                            </m:r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−</m:t>
                            </m:r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den>
                        </m:f>
                        <m:nary>
                          <m:naryPr>
                            <m:chr m:val="∑"/>
                            <m:ctrlP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𝒊</m:t>
                            </m:r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−</m:t>
                            </m:r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sub>
                          <m:sup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𝒏</m:t>
                            </m:r>
                          </m:sup>
                          <m:e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pt-BR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pt-BR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𝒙</m:t>
                                </m:r>
                              </m:e>
                              <m:sub>
                                <m:r>
                                  <a:rPr lang="pt-BR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𝒊</m:t>
                                </m:r>
                              </m:sub>
                            </m:sSub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pt-BR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t-BR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𝒙</m:t>
                                </m:r>
                              </m:e>
                            </m:acc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 ) (</m:t>
                            </m:r>
                            <m:sSub>
                              <m:sSubPr>
                                <m:ctrlPr>
                                  <a:rPr lang="pt-BR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pt-BR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𝒚</m:t>
                                </m:r>
                              </m:e>
                              <m:sub>
                                <m:r>
                                  <a:rPr lang="pt-BR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𝒊</m:t>
                                </m:r>
                              </m:sub>
                            </m:sSub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pt-BR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pt-BR" sz="14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𝒚</m:t>
                                </m:r>
                              </m:e>
                            </m:acc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)</m:t>
                            </m:r>
                          </m:e>
                        </m:nary>
                      </m:oMath>
                    </a14:m>
                    <a:endParaRPr lang="LID4096" sz="1400" b="1" i="0">
                      <a:solidFill>
                        <a:schemeClr val="tx1"/>
                      </a:solidFill>
                    </a:endParaRPr>
                  </a:p>
                </xdr:txBody>
              </xdr:sp>
            </mc:Choice>
            <mc:Fallback xmlns="">
              <xdr:sp macro="" textlink="">
                <xdr:nvSpPr>
                  <xdr:cNvPr id="53" name="TextBox 52">
                    <a:extLst>
                      <a:ext uri="{FF2B5EF4-FFF2-40B4-BE49-F238E27FC236}">
                        <a16:creationId xmlns:a16="http://schemas.microsoft.com/office/drawing/2014/main" id="{A3B72379-C875-6C5D-377E-CE3FD955CF65}"/>
                      </a:ext>
                    </a:extLst>
                  </xdr:cNvPr>
                  <xdr:cNvSpPr txBox="1"/>
                </xdr:nvSpPr>
                <xdr:spPr>
                  <a:xfrm>
                    <a:off x="12082161" y="2962275"/>
                    <a:ext cx="3514726" cy="733425"/>
                  </a:xfrm>
                  <a:prstGeom prst="rect">
                    <a:avLst/>
                  </a:prstGeom>
                  <a:solidFill>
                    <a:schemeClr val="bg1">
                      <a:lumMod val="95000"/>
                    </a:schemeClr>
                  </a:solidFill>
                  <a:ln>
                    <a:solidFill>
                      <a:schemeClr val="tx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  <xdr:txBody>
                  <a:bodyPr vertOverflow="clip" horzOverflow="clip" wrap="none" lIns="0" tIns="0" rIns="0" bIns="0" rtlCol="0" anchor="ctr" anchorCtr="0">
                    <a:noAutofit/>
                  </a:bodyPr>
                  <a:lstStyle/>
                  <a:p>
                    <a:pPr algn="ctr"/>
                    <a:r>
                      <a:rPr lang="pt-BR" sz="1400" b="1" i="1">
                        <a:solidFill>
                          <a:schemeClr val="tx1"/>
                        </a:solidFill>
                        <a:effectLst/>
                        <a:latin typeface="+mn-lt"/>
                        <a:ea typeface="Cambria Math" panose="02040503050406030204" pitchFamily="18" charset="0"/>
                        <a:cs typeface="+mn-cs"/>
                      </a:rPr>
                      <a:t>cov</a:t>
                    </a:r>
                    <a:r>
                      <a:rPr lang="pt-BR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a:t>(𝐗,𝐘)=𝟏/(𝒏−𝟏) ∑_(𝒊−𝟏)^𝒏▒〖(𝒙_𝒊−𝒙 ̅  ) (𝒚_𝒊−𝒚 ̅)〗</a:t>
                    </a:r>
                    <a:endParaRPr lang="LID4096" sz="1400" b="1" i="0">
                      <a:solidFill>
                        <a:schemeClr val="tx1"/>
                      </a:solidFill>
                    </a:endParaRPr>
                  </a:p>
                </xdr:txBody>
              </xdr:sp>
            </mc:Fallback>
          </mc:AlternateContent>
          <xdr:sp macro="" textlink="">
            <xdr:nvSpPr>
              <xdr:cNvPr id="54" name="Rectangle 53">
                <a:extLst>
                  <a:ext uri="{FF2B5EF4-FFF2-40B4-BE49-F238E27FC236}">
                    <a16:creationId xmlns:a16="http://schemas.microsoft.com/office/drawing/2014/main" id="{CA2B9924-51E6-28D5-0CDB-8F8F37CFD4D4}"/>
                  </a:ext>
                </a:extLst>
              </xdr:cNvPr>
              <xdr:cNvSpPr/>
            </xdr:nvSpPr>
            <xdr:spPr>
              <a:xfrm>
                <a:off x="13868916" y="3876677"/>
                <a:ext cx="1716989" cy="1200150"/>
              </a:xfrm>
              <a:prstGeom prst="rect">
                <a:avLst/>
              </a:prstGeom>
              <a:noFill/>
              <a:ln w="285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LID4096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</xdr:grpSp>
      </xdr:grp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9139AECD-165E-3F7B-FB27-C309985EE354}"/>
              </a:ext>
            </a:extLst>
          </xdr:cNvPr>
          <xdr:cNvSpPr txBox="1"/>
        </xdr:nvSpPr>
        <xdr:spPr>
          <a:xfrm>
            <a:off x="10101955" y="2451654"/>
            <a:ext cx="770162" cy="774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 anchorCtr="0"/>
          <a:lstStyle/>
          <a:p>
            <a:pPr algn="r"/>
            <a:r>
              <a:rPr lang="pt-BR" sz="2500" b="1">
                <a:solidFill>
                  <a:srgbClr val="FF0000"/>
                </a:solidFill>
              </a:rPr>
              <a:t>a</a:t>
            </a:r>
            <a:r>
              <a:rPr lang="pt-BR" sz="2500" b="1">
                <a:solidFill>
                  <a:srgbClr val="0000FF"/>
                </a:solidFill>
              </a:rPr>
              <a:t>b</a:t>
            </a:r>
            <a:endParaRPr lang="LID4096" sz="2500" b="1">
              <a:solidFill>
                <a:srgbClr val="0000FF"/>
              </a:solidFill>
            </a:endParaRPr>
          </a:p>
        </xdr:txBody>
      </xdr:sp>
      <xdr:sp macro="" textlink="">
        <xdr:nvSpPr>
          <xdr:cNvPr id="45" name="Arrow: Left-Right 44">
            <a:extLst>
              <a:ext uri="{FF2B5EF4-FFF2-40B4-BE49-F238E27FC236}">
                <a16:creationId xmlns:a16="http://schemas.microsoft.com/office/drawing/2014/main" id="{F1DD0771-0CE8-A20C-1CF8-D9BA7BE07137}"/>
              </a:ext>
            </a:extLst>
          </xdr:cNvPr>
          <xdr:cNvSpPr/>
        </xdr:nvSpPr>
        <xdr:spPr>
          <a:xfrm>
            <a:off x="9674087" y="2937811"/>
            <a:ext cx="703605" cy="199884"/>
          </a:xfrm>
          <a:prstGeom prst="leftRightArrow">
            <a:avLst>
              <a:gd name="adj1" fmla="val 43103"/>
              <a:gd name="adj2" fmla="val 70690"/>
            </a:avLst>
          </a:prstGeom>
          <a:solidFill>
            <a:schemeClr val="tx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LID4096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6" name="TextBox 45">
                <a:extLst>
                  <a:ext uri="{FF2B5EF4-FFF2-40B4-BE49-F238E27FC236}">
                    <a16:creationId xmlns:a16="http://schemas.microsoft.com/office/drawing/2014/main" id="{AC3ECCDA-27D9-0480-614B-7FA36958FBB8}"/>
                  </a:ext>
                </a:extLst>
              </xdr:cNvPr>
              <xdr:cNvSpPr txBox="1"/>
            </xdr:nvSpPr>
            <xdr:spPr>
              <a:xfrm>
                <a:off x="7744240" y="2277718"/>
                <a:ext cx="704022" cy="701187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noAutofit/>
              </a:bodyPr>
              <a:lstStyle/>
              <a:p>
                <a:pPr algn="ctr"/>
                <a:r>
                  <a:rPr lang="pt-BR" sz="1200" b="1" i="1">
                    <a:solidFill>
                      <a:schemeClr val="tx1"/>
                    </a:solidFill>
                    <a:effectLst/>
                    <a:latin typeface="+mn-lt"/>
                    <a:ea typeface="Cambria Math" panose="02040503050406030204" pitchFamily="18" charset="0"/>
                    <a:cs typeface="+mn-cs"/>
                  </a:rPr>
                  <a:t>co</a:t>
                </a:r>
                <a14:m>
                  <m:oMath xmlns:m="http://schemas.openxmlformats.org/officeDocument/2006/math">
                    <m:r>
                      <a:rPr lang="pt-BR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𝒓𝒓</m:t>
                    </m:r>
                    <m:r>
                      <a:rPr lang="pt-BR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</m:oMath>
                </a14:m>
                <a:endParaRPr lang="pt-BR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endParaRPr>
              </a:p>
              <a:p>
                <a:pPr algn="ctr"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f>
                        <m:fPr>
                          <m:ctrlPr>
                            <a:rPr lang="pt-BR" sz="12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</m:ctrlPr>
                        </m:fPr>
                        <m:num>
                          <m:r>
                            <m:rPr>
                              <m:nor/>
                            </m:rPr>
                            <a:rPr lang="pt-BR" sz="1200" b="1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cov</m:t>
                          </m:r>
                          <m:d>
                            <m:dPr>
                              <m:ctrlPr>
                                <a:rPr lang="pt-BR" sz="12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dPr>
                            <m:e>
                              <m:r>
                                <a:rPr lang="pt-BR" sz="12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𝐗</m:t>
                              </m:r>
                              <m:r>
                                <a:rPr lang="pt-BR" sz="12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,</m:t>
                              </m:r>
                              <m:r>
                                <a:rPr lang="pt-BR" sz="1200" b="1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𝐘</m:t>
                              </m:r>
                            </m:e>
                          </m:d>
                        </m:num>
                        <m:den>
                          <m:sSub>
                            <m:sSubPr>
                              <m:ctrlPr>
                                <a:rPr lang="pt-BR" sz="12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pt-BR" sz="12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cs typeface="+mn-cs"/>
                                </a:rPr>
                                <m:t>𝝈</m:t>
                              </m:r>
                            </m:e>
                            <m:sub>
                              <m:r>
                                <a:rPr lang="pt-BR" sz="12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cs typeface="+mn-cs"/>
                                </a:rPr>
                                <m:t>𝒙</m:t>
                              </m:r>
                            </m:sub>
                          </m:sSub>
                          <m:sSub>
                            <m:sSubPr>
                              <m:ctrlPr>
                                <a:rPr lang="pt-BR" sz="12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pt-BR" sz="12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𝝈</m:t>
                              </m:r>
                            </m:e>
                            <m:sub>
                              <m:r>
                                <a:rPr lang="pt-BR" sz="1200" b="1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cs typeface="+mn-cs"/>
                                </a:rPr>
                                <m:t>𝒚</m:t>
                              </m:r>
                            </m:sub>
                          </m:sSub>
                        </m:den>
                      </m:f>
                    </m:oMath>
                  </m:oMathPara>
                </a14:m>
                <a:endParaRPr lang="LID4096" sz="1200" b="1" i="0">
                  <a:solidFill>
                    <a:schemeClr val="tx1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46" name="TextBox 45">
                <a:extLst>
                  <a:ext uri="{FF2B5EF4-FFF2-40B4-BE49-F238E27FC236}">
                    <a16:creationId xmlns:a16="http://schemas.microsoft.com/office/drawing/2014/main" id="{AC3ECCDA-27D9-0480-614B-7FA36958FBB8}"/>
                  </a:ext>
                </a:extLst>
              </xdr:cNvPr>
              <xdr:cNvSpPr txBox="1"/>
            </xdr:nvSpPr>
            <xdr:spPr>
              <a:xfrm>
                <a:off x="7744240" y="2277718"/>
                <a:ext cx="704022" cy="701187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noAutofit/>
              </a:bodyPr>
              <a:lstStyle/>
              <a:p>
                <a:pPr algn="ctr"/>
                <a:r>
                  <a:rPr lang="pt-BR" sz="1200" b="1" i="1">
                    <a:solidFill>
                      <a:schemeClr val="tx1"/>
                    </a:solidFill>
                    <a:effectLst/>
                    <a:latin typeface="+mn-lt"/>
                    <a:ea typeface="Cambria Math" panose="02040503050406030204" pitchFamily="18" charset="0"/>
                    <a:cs typeface="+mn-cs"/>
                  </a:rPr>
                  <a:t>co</a:t>
                </a:r>
                <a:r>
                  <a:rPr lang="pt-BR" sz="12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rPr>
                  <a:t>𝒓𝒓=</a:t>
                </a:r>
              </a:p>
              <a:p>
                <a:pPr algn="ctr"/>
                <a:r>
                  <a:rPr lang="pt-BR" sz="1200" b="1" i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rPr>
                  <a:t>"cov</a:t>
                </a:r>
                <a:r>
                  <a:rPr lang="pt-BR" sz="12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" (𝐗,𝐘)</a:t>
                </a:r>
                <a:r>
                  <a:rPr lang="pt-BR" sz="12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rPr>
                  <a:t>/(𝝈_𝒙 </a:t>
                </a:r>
                <a:r>
                  <a:rPr lang="pt-BR" sz="12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𝝈</a:t>
                </a:r>
                <a:r>
                  <a:rPr lang="pt-BR" sz="1200" b="1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rPr>
                  <a:t>_𝒚 )</a:t>
                </a:r>
                <a:endParaRPr lang="LID4096" sz="1200" b="1" i="0">
                  <a:solidFill>
                    <a:schemeClr val="tx1"/>
                  </a:solidFill>
                </a:endParaRPr>
              </a:p>
            </xdr:txBody>
          </xdr:sp>
        </mc:Fallback>
      </mc:AlternateContent>
      <xdr:sp macro="" textlink="$Y$3">
        <xdr:nvSpPr>
          <xdr:cNvPr id="47" name="TextBox 46">
            <a:extLst>
              <a:ext uri="{FF2B5EF4-FFF2-40B4-BE49-F238E27FC236}">
                <a16:creationId xmlns:a16="http://schemas.microsoft.com/office/drawing/2014/main" id="{D7C5466A-632C-097B-2E6F-FB1195635279}"/>
              </a:ext>
            </a:extLst>
          </xdr:cNvPr>
          <xdr:cNvSpPr txBox="1"/>
        </xdr:nvSpPr>
        <xdr:spPr>
          <a:xfrm>
            <a:off x="9690652" y="4306956"/>
            <a:ext cx="389283" cy="2236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ctr" anchorCtr="0"/>
          <a:lstStyle/>
          <a:p>
            <a:pPr algn="ctr"/>
            <a:fld id="{43AA497E-72FD-42EE-B38F-669070F19144}" type="TxLink">
              <a:rPr lang="en-US" sz="1400" b="1" i="0" u="none" strike="noStrike">
                <a:solidFill>
                  <a:sysClr val="windowText" lastClr="000000"/>
                </a:solidFill>
                <a:latin typeface="Calibri"/>
                <a:cs typeface="Calibri"/>
              </a:rPr>
              <a:pPr algn="ctr"/>
              <a:t>bc</a:t>
            </a:fld>
            <a:endParaRPr lang="LID4096" sz="1400">
              <a:solidFill>
                <a:sysClr val="windowText" lastClr="000000"/>
              </a:solidFill>
            </a:endParaRPr>
          </a:p>
        </xdr:txBody>
      </xdr:sp>
      <xdr:sp macro="" textlink="$X$3">
        <xdr:nvSpPr>
          <xdr:cNvPr id="48" name="TextBox 47">
            <a:extLst>
              <a:ext uri="{FF2B5EF4-FFF2-40B4-BE49-F238E27FC236}">
                <a16:creationId xmlns:a16="http://schemas.microsoft.com/office/drawing/2014/main" id="{F6A5C257-5ED8-FEE3-05EA-DF3D0A274627}"/>
              </a:ext>
            </a:extLst>
          </xdr:cNvPr>
          <xdr:cNvSpPr txBox="1"/>
        </xdr:nvSpPr>
        <xdr:spPr>
          <a:xfrm>
            <a:off x="8017565" y="3801718"/>
            <a:ext cx="389283" cy="2236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ctr" anchorCtr="0"/>
          <a:lstStyle/>
          <a:p>
            <a:pPr algn="ctr"/>
            <a:fld id="{281A5329-DF09-4009-B490-F1FDB4F74649}" type="TxLink">
              <a:rPr lang="en-US" sz="1400" b="1" i="0" u="none" strike="noStrike">
                <a:solidFill>
                  <a:sysClr val="windowText" lastClr="000000"/>
                </a:solidFill>
                <a:latin typeface="Calibri"/>
                <a:cs typeface="Calibri"/>
              </a:rPr>
              <a:pPr algn="ctr"/>
              <a:t>ac</a:t>
            </a:fld>
            <a:endParaRPr lang="LID4096" sz="1400">
              <a:solidFill>
                <a:sysClr val="windowText" lastClr="000000"/>
              </a:solidFill>
            </a:endParaRPr>
          </a:p>
        </xdr:txBody>
      </xdr:sp>
      <xdr:sp macro="" textlink="$W$3">
        <xdr:nvSpPr>
          <xdr:cNvPr id="49" name="TextBox 48">
            <a:extLst>
              <a:ext uri="{FF2B5EF4-FFF2-40B4-BE49-F238E27FC236}">
                <a16:creationId xmlns:a16="http://schemas.microsoft.com/office/drawing/2014/main" id="{6A3356C2-A192-5C1A-59A4-D463ABF35D1D}"/>
              </a:ext>
            </a:extLst>
          </xdr:cNvPr>
          <xdr:cNvSpPr txBox="1"/>
        </xdr:nvSpPr>
        <xdr:spPr>
          <a:xfrm>
            <a:off x="7943022" y="4704522"/>
            <a:ext cx="389283" cy="2236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ctr" anchorCtr="0"/>
          <a:lstStyle/>
          <a:p>
            <a:pPr algn="ctr"/>
            <a:fld id="{45034924-9DF3-42CC-AFCD-1FE3874ECD8F}" type="TxLink">
              <a:rPr lang="en-US" sz="1400" b="1" i="0" u="none" strike="noStrike">
                <a:solidFill>
                  <a:sysClr val="windowText" lastClr="000000"/>
                </a:solidFill>
                <a:latin typeface="Calibri"/>
                <a:cs typeface="Calibri"/>
              </a:rPr>
              <a:pPr algn="ctr"/>
              <a:t>ab</a:t>
            </a:fld>
            <a:endParaRPr lang="LID4096" sz="1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29</xdr:col>
      <xdr:colOff>124240</xdr:colOff>
      <xdr:row>14</xdr:row>
      <xdr:rowOff>24847</xdr:rowOff>
    </xdr:from>
    <xdr:to>
      <xdr:col>30</xdr:col>
      <xdr:colOff>82826</xdr:colOff>
      <xdr:row>16</xdr:row>
      <xdr:rowOff>10853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C8667D9-305E-4887-B418-2A43CA92B82B}"/>
            </a:ext>
          </a:extLst>
        </xdr:cNvPr>
        <xdr:cNvSpPr txBox="1"/>
      </xdr:nvSpPr>
      <xdr:spPr>
        <a:xfrm>
          <a:off x="8630065" y="2234647"/>
          <a:ext cx="491986" cy="290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 anchorCtr="0"/>
        <a:lstStyle/>
        <a:p>
          <a:pPr algn="l"/>
          <a:r>
            <a:rPr lang="pt-BR" sz="1300" b="1">
              <a:solidFill>
                <a:srgbClr val="2525FF"/>
              </a:solidFill>
            </a:rPr>
            <a:t>ABC</a:t>
          </a:r>
          <a:endParaRPr lang="LID4096" sz="1300" b="1">
            <a:solidFill>
              <a:srgbClr val="2525FF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est\S\B001.xlsx" TargetMode="External"/><Relationship Id="rId1" Type="http://schemas.openxmlformats.org/officeDocument/2006/relationships/externalLinkPath" Target="file:///C:\pest\S\B0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0_Docs\2021\probReview_0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15_REPOS\02_Beta_in-house\08_GMDSI\b01b_Beta\00_COV_inverse_T_C_D_.xlsx" TargetMode="External"/><Relationship Id="rId1" Type="http://schemas.openxmlformats.org/officeDocument/2006/relationships/externalLinkPath" Target="/15_REPOS/02_Beta_in-house/08_GMDSI/b01b_Beta/00_COV_inverse_T_C_D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"/>
      <sheetName val="C157"/>
      <sheetName val="C_"/>
      <sheetName val="A2G"/>
      <sheetName val="A22G"/>
      <sheetName val="A3R"/>
      <sheetName val=".."/>
      <sheetName val="Z"/>
      <sheetName val="N"/>
      <sheetName val="11"/>
      <sheetName val="71"/>
      <sheetName val="12"/>
      <sheetName val="13"/>
      <sheetName val="14"/>
      <sheetName val="74"/>
      <sheetName val="75"/>
      <sheetName val="Qa"/>
      <sheetName val="Qchd"/>
      <sheetName val="p55"/>
      <sheetName val="p56"/>
      <sheetName val="p57"/>
      <sheetName val="p59"/>
      <sheetName val="p60"/>
      <sheetName val="P2"/>
      <sheetName val="q50"/>
      <sheetName val="q51"/>
      <sheetName val="q52"/>
      <sheetName val="q53"/>
      <sheetName val="q54"/>
      <sheetName val="K"/>
      <sheetName val="P1"/>
      <sheetName val="....."/>
      <sheetName val="C"/>
      <sheetName val="PAR"/>
      <sheetName val="Ctrl"/>
      <sheetName val="OBS"/>
      <sheetName val="MB"/>
      <sheetName val="#REF"/>
      <sheetName val="B001"/>
      <sheetName val="c75"/>
      <sheetName val="40"/>
      <sheetName val="41"/>
      <sheetName val="42"/>
      <sheetName val="43"/>
      <sheetName val="44"/>
      <sheetName val="rec"/>
      <sheetName val="r46"/>
      <sheetName val="r49"/>
      <sheetName val="r71"/>
      <sheetName val="g74"/>
      <sheetName val="a1"/>
      <sheetName val="a2"/>
      <sheetName val="a3"/>
      <sheetName val="a5"/>
      <sheetName val="In"/>
      <sheetName val="H_F"/>
      <sheetName val="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>
        <row r="5">
          <cell r="B5">
            <v>0</v>
          </cell>
        </row>
      </sheetData>
      <sheetData sheetId="40">
        <row r="3">
          <cell r="K3" t="str">
            <v>MED.par.bpa.IN</v>
          </cell>
        </row>
      </sheetData>
      <sheetData sheetId="41"/>
      <sheetData sheetId="42"/>
      <sheetData sheetId="43"/>
      <sheetData sheetId="44">
        <row r="1014">
          <cell r="BF1014" t="str">
            <v>MED.par.bpa.IN</v>
          </cell>
        </row>
      </sheetData>
      <sheetData sheetId="45"/>
      <sheetData sheetId="46"/>
      <sheetData sheetId="47"/>
      <sheetData sheetId="48">
        <row r="3">
          <cell r="K3" t="str">
            <v>MOD 3 Fixo</v>
          </cell>
        </row>
      </sheetData>
      <sheetData sheetId="49">
        <row r="5">
          <cell r="F5">
            <v>0</v>
          </cell>
        </row>
      </sheetData>
      <sheetData sheetId="50"/>
      <sheetData sheetId="51"/>
      <sheetData sheetId="52"/>
      <sheetData sheetId="53"/>
      <sheetData sheetId="54">
        <row r="9">
          <cell r="AA9">
            <v>1.0009999999999999</v>
          </cell>
        </row>
      </sheetData>
      <sheetData sheetId="55"/>
      <sheetData sheetId="5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rete distribution"/>
      <sheetName val="VaR"/>
      <sheetName val="portfolio"/>
      <sheetName val="bivariate pdf"/>
      <sheetName val="log-Normal distribution"/>
      <sheetName val="Normal distribution"/>
    </sheetNames>
    <sheetDataSet>
      <sheetData sheetId="0">
        <row r="4">
          <cell r="C4">
            <v>0.05</v>
          </cell>
        </row>
        <row r="5">
          <cell r="C5">
            <v>0.2</v>
          </cell>
        </row>
        <row r="6">
          <cell r="C6">
            <v>0.4</v>
          </cell>
        </row>
        <row r="7">
          <cell r="C7">
            <v>0.3</v>
          </cell>
        </row>
        <row r="8">
          <cell r="C8">
            <v>0.05</v>
          </cell>
        </row>
        <row r="30">
          <cell r="B30">
            <v>0.11000000000000001</v>
          </cell>
        </row>
        <row r="31">
          <cell r="B31">
            <v>2.0900000000000002E-2</v>
          </cell>
        </row>
        <row r="32">
          <cell r="B32">
            <v>0.14456832294800961</v>
          </cell>
        </row>
      </sheetData>
      <sheetData sheetId="1"/>
      <sheetData sheetId="2">
        <row r="3">
          <cell r="C3">
            <v>0.05</v>
          </cell>
          <cell r="D3">
            <v>1.0000000000000002E-2</v>
          </cell>
          <cell r="F3">
            <v>0</v>
          </cell>
        </row>
        <row r="4">
          <cell r="C4">
            <v>0.1</v>
          </cell>
          <cell r="D4">
            <v>4.0000000000000008E-2</v>
          </cell>
        </row>
        <row r="9">
          <cell r="C9">
            <v>0.5</v>
          </cell>
        </row>
        <row r="10">
          <cell r="C10">
            <v>0.5</v>
          </cell>
        </row>
      </sheetData>
      <sheetData sheetId="3"/>
      <sheetData sheetId="4"/>
      <sheetData sheetId="5">
        <row r="8">
          <cell r="B8">
            <v>1</v>
          </cell>
          <cell r="C8">
            <v>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"/>
      <sheetName val="SVD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3DC2-9FC5-4BD0-9317-6367071F464A}">
  <sheetPr>
    <tabColor theme="8" tint="0.59999389629810485"/>
  </sheetPr>
  <dimension ref="A1:BI62"/>
  <sheetViews>
    <sheetView tabSelected="1" zoomScale="115" zoomScaleNormal="115" workbookViewId="0">
      <selection activeCell="AO3" sqref="AO3"/>
    </sheetView>
  </sheetViews>
  <sheetFormatPr defaultRowHeight="13.5" customHeight="1" x14ac:dyDescent="0.25"/>
  <cols>
    <col min="1" max="1" width="1.42578125" style="7" customWidth="1"/>
    <col min="2" max="2" width="2.5703125" style="7" customWidth="1"/>
    <col min="3" max="8" width="0.85546875" style="7" customWidth="1"/>
    <col min="9" max="9" width="0.85546875" style="172" customWidth="1"/>
    <col min="10" max="10" width="1" style="172" customWidth="1"/>
    <col min="11" max="13" width="6.5703125" style="7" customWidth="1"/>
    <col min="14" max="14" width="2" style="7" customWidth="1"/>
    <col min="15" max="17" width="6.5703125" style="7" customWidth="1"/>
    <col min="18" max="18" width="2" style="7" customWidth="1"/>
    <col min="19" max="21" width="8.5703125" style="7" bestFit="1" customWidth="1"/>
    <col min="22" max="22" width="2" style="7" customWidth="1"/>
    <col min="23" max="25" width="7" style="7" customWidth="1"/>
    <col min="26" max="26" width="2" style="7" customWidth="1"/>
    <col min="27" max="27" width="6.42578125" style="7" customWidth="1"/>
    <col min="28" max="30" width="8" style="7" customWidth="1"/>
    <col min="31" max="31" width="2.42578125" style="7" customWidth="1"/>
    <col min="32" max="34" width="8.5703125" style="7" customWidth="1"/>
    <col min="35" max="35" width="5.42578125" style="7" customWidth="1"/>
    <col min="36" max="16384" width="9.140625" style="7"/>
  </cols>
  <sheetData>
    <row r="1" spans="1:61" ht="10.5" customHeight="1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1"/>
      <c r="L1" s="1"/>
      <c r="M1" s="1"/>
      <c r="N1" s="1"/>
      <c r="O1" s="1"/>
      <c r="P1" s="1"/>
      <c r="Q1" s="1"/>
      <c r="R1" s="1"/>
      <c r="S1" s="3"/>
      <c r="T1" s="3"/>
      <c r="U1" s="3"/>
      <c r="V1" s="1"/>
      <c r="W1" s="1"/>
      <c r="X1" s="1"/>
      <c r="Y1" s="1"/>
      <c r="Z1" s="1"/>
      <c r="AA1" s="1"/>
      <c r="AB1" s="1"/>
      <c r="AC1" s="1"/>
      <c r="AD1" s="1"/>
      <c r="AE1" s="1"/>
      <c r="AF1" s="4"/>
      <c r="AG1" s="5"/>
      <c r="AH1" s="6" t="str">
        <f>_xlfn.IFS($B$3=0,D4,$B$3=1,H4,$B$3=2,B20,$B$3=3,F20,$B$3=4,B34)</f>
        <v>Input C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>
        <v>1</v>
      </c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>
        <v>1</v>
      </c>
    </row>
    <row r="2" spans="1:61" ht="10.5" customHeight="1" x14ac:dyDescent="0.25">
      <c r="A2" s="1"/>
      <c r="B2" s="1"/>
      <c r="C2" s="1"/>
      <c r="D2" s="8" t="s">
        <v>0</v>
      </c>
      <c r="E2" s="1"/>
      <c r="F2" s="9">
        <f ca="1">$F$3+RANDBETWEEN($F$3/10,$F$3/5)</f>
        <v>282</v>
      </c>
      <c r="G2" s="9">
        <f ca="1">$G$3+RANDBETWEEN($G$3/10,$G$3/5)</f>
        <v>1851</v>
      </c>
      <c r="H2" s="10">
        <v>1</v>
      </c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s">
        <v>34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</row>
    <row r="3" spans="1:61" ht="10.5" customHeight="1" x14ac:dyDescent="0.25">
      <c r="A3" s="1"/>
      <c r="B3" s="11">
        <v>2</v>
      </c>
      <c r="C3" s="1"/>
      <c r="D3" s="12">
        <f ca="1">RANDBETWEEN($H$2,$H$3)</f>
        <v>8</v>
      </c>
      <c r="E3" s="1"/>
      <c r="F3" s="13">
        <v>250</v>
      </c>
      <c r="G3" s="13">
        <v>1600</v>
      </c>
      <c r="H3" s="10">
        <v>9</v>
      </c>
      <c r="I3" s="2"/>
      <c r="J3" s="2"/>
      <c r="K3" s="14"/>
      <c r="L3" s="1"/>
      <c r="M3" s="1"/>
      <c r="N3" s="1"/>
      <c r="O3" s="1"/>
      <c r="P3" s="1"/>
      <c r="Q3" s="1"/>
      <c r="R3" s="1"/>
      <c r="S3" s="15" t="s">
        <v>1</v>
      </c>
      <c r="T3" s="15" t="s">
        <v>2</v>
      </c>
      <c r="U3" s="15" t="s">
        <v>3</v>
      </c>
      <c r="V3" s="1"/>
      <c r="W3" s="16" t="s">
        <v>4</v>
      </c>
      <c r="X3" s="16" t="s">
        <v>5</v>
      </c>
      <c r="Y3" s="16" t="s">
        <v>6</v>
      </c>
      <c r="Z3" s="1"/>
      <c r="AA3" s="14"/>
      <c r="AB3" s="17"/>
      <c r="AC3" s="17"/>
      <c r="AD3" s="17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ht="10.5" customHeight="1" x14ac:dyDescent="0.3">
      <c r="A4" s="1"/>
      <c r="B4" s="18" t="s">
        <v>7</v>
      </c>
      <c r="C4" s="18"/>
      <c r="D4" s="19">
        <f>COUNT(B6:D6)</f>
        <v>2</v>
      </c>
      <c r="E4" s="1"/>
      <c r="F4" s="18" t="s">
        <v>8</v>
      </c>
      <c r="G4" s="18"/>
      <c r="H4" s="19">
        <f ca="1">COUNT(F6:H6)</f>
        <v>3</v>
      </c>
      <c r="I4" s="2"/>
      <c r="J4" s="2"/>
      <c r="K4" s="14"/>
      <c r="L4" s="1"/>
      <c r="M4" s="1"/>
      <c r="N4" s="1"/>
      <c r="O4" s="20"/>
      <c r="P4" s="20"/>
      <c r="Q4" s="20">
        <f>MAX(ABS(MIN(O6:P16)),MAX(O6:P16))</f>
        <v>4.9090909090909092</v>
      </c>
      <c r="R4" s="1"/>
      <c r="S4" s="21">
        <v>11</v>
      </c>
      <c r="T4" s="22">
        <v>22</v>
      </c>
      <c r="U4" s="22">
        <v>33</v>
      </c>
      <c r="V4" s="1"/>
      <c r="W4" s="23">
        <v>12</v>
      </c>
      <c r="X4" s="23">
        <v>13</v>
      </c>
      <c r="Y4" s="23">
        <v>23</v>
      </c>
      <c r="Z4" s="1"/>
      <c r="AA4" s="14"/>
      <c r="AB4" s="24"/>
      <c r="AC4" s="24"/>
      <c r="AD4" s="25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ht="15" customHeight="1" x14ac:dyDescent="0.25">
      <c r="A5" s="1"/>
      <c r="B5" s="1" t="s">
        <v>9</v>
      </c>
      <c r="C5" s="1" t="s">
        <v>10</v>
      </c>
      <c r="D5" s="1" t="s">
        <v>11</v>
      </c>
      <c r="E5" s="1"/>
      <c r="F5" s="1" t="s">
        <v>9</v>
      </c>
      <c r="G5" s="1" t="s">
        <v>10</v>
      </c>
      <c r="H5" s="1" t="s">
        <v>11</v>
      </c>
      <c r="I5" s="2"/>
      <c r="J5" s="2"/>
      <c r="K5" s="26" t="s">
        <v>9</v>
      </c>
      <c r="L5" s="26" t="s">
        <v>10</v>
      </c>
      <c r="M5" s="26" t="s">
        <v>11</v>
      </c>
      <c r="N5" s="1"/>
      <c r="O5" s="20"/>
      <c r="P5" s="20"/>
      <c r="Q5" s="20">
        <f>MAX(ABS(MIN(O6:Q16)),MAX(O6:Q16))</f>
        <v>9.8181818181818183</v>
      </c>
      <c r="R5" s="1"/>
      <c r="S5" s="27" t="s">
        <v>12</v>
      </c>
      <c r="T5" s="28" t="s">
        <v>12</v>
      </c>
      <c r="U5" s="22" t="s">
        <v>12</v>
      </c>
      <c r="V5" s="1"/>
      <c r="W5" s="29">
        <v>21</v>
      </c>
      <c r="X5" s="30">
        <v>31</v>
      </c>
      <c r="Y5" s="30">
        <v>32</v>
      </c>
      <c r="Z5" s="1"/>
      <c r="AA5" s="31"/>
      <c r="AB5" s="32" t="s">
        <v>9</v>
      </c>
      <c r="AC5" s="33" t="s">
        <v>10</v>
      </c>
      <c r="AD5" s="32" t="s">
        <v>11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ht="15" customHeight="1" x14ac:dyDescent="0.25">
      <c r="A6" s="1"/>
      <c r="B6" s="34">
        <v>7</v>
      </c>
      <c r="C6" s="35">
        <v>3</v>
      </c>
      <c r="D6" s="36"/>
      <c r="E6" s="1"/>
      <c r="F6" s="34">
        <f t="shared" ref="F6:H16" ca="1" si="0">RANDBETWEEN($H$2,$H$3)</f>
        <v>2</v>
      </c>
      <c r="G6" s="37">
        <f t="shared" ca="1" si="0"/>
        <v>1</v>
      </c>
      <c r="H6" s="38">
        <f t="shared" ca="1" si="0"/>
        <v>1</v>
      </c>
      <c r="I6" s="2"/>
      <c r="J6" s="2"/>
      <c r="K6" s="39">
        <f t="shared" ref="K6:M16" si="1">_xlfn.IFS($B$3=0,B6,$B$3=1,F6,$B$3=2,B22,$B$3=3,F22,$B$3=4,B36)</f>
        <v>8</v>
      </c>
      <c r="L6" s="40">
        <f t="shared" si="1"/>
        <v>1</v>
      </c>
      <c r="M6" s="41">
        <f t="shared" si="1"/>
        <v>2</v>
      </c>
      <c r="N6" s="1"/>
      <c r="O6" s="42">
        <f t="shared" ref="O6:Q16" si="2">K6-O$17</f>
        <v>2.3636363636363633</v>
      </c>
      <c r="P6" s="43">
        <f t="shared" si="2"/>
        <v>-3.0909090909090908</v>
      </c>
      <c r="Q6" s="44">
        <f t="shared" si="2"/>
        <v>-6.1818181818181817</v>
      </c>
      <c r="R6" s="1"/>
      <c r="S6" s="45">
        <f t="shared" ref="S6:U16" si="3">(K6-O$17)^2</f>
        <v>5.5867768595041305</v>
      </c>
      <c r="T6" s="46">
        <f t="shared" si="3"/>
        <v>9.5537190082644621</v>
      </c>
      <c r="U6" s="47">
        <f t="shared" si="3"/>
        <v>38.214876033057848</v>
      </c>
      <c r="V6" s="1"/>
      <c r="W6" s="48">
        <f t="shared" ref="W6:W16" si="4">IF(K6&lt;&gt;0,(K6-O$17)*(L6-P$17),"")</f>
        <v>-7.3057851239669409</v>
      </c>
      <c r="X6" s="49">
        <f t="shared" ref="X6:X16" si="5">IF(ISNUMBER($Q$17),IF(K6&lt;&gt;0,(K6-O$17)*(M6-Q$17),""),"")</f>
        <v>-14.611570247933882</v>
      </c>
      <c r="Y6" s="50">
        <f t="shared" ref="Y6:Y16" si="6">IF(ISNUMBER($Q$17),IF(L6&lt;&gt;0,(L6-P$17)*(M6-Q$17),""),"")</f>
        <v>19.107438016528924</v>
      </c>
      <c r="Z6" s="1"/>
      <c r="AA6" s="32" t="str">
        <f t="array" ref="AA6:AA8">TRANSPOSE(AB5:AD5)</f>
        <v>a</v>
      </c>
      <c r="AB6" s="51">
        <f>INDEX($S$18:$U$18,1,AF14)</f>
        <v>5.0545454545454547</v>
      </c>
      <c r="AC6" s="52">
        <f ca="1">INDEX($C$18:$Y$18,1,AG14)</f>
        <v>-6.4636363636363638</v>
      </c>
      <c r="AD6" s="53">
        <f ca="1">IF(AH1&lt;3,"",INDEX($C$18:$Y$18,1,AH14))</f>
        <v>-12.927272727272728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ht="15" customHeight="1" x14ac:dyDescent="0.15">
      <c r="A7" s="1"/>
      <c r="B7" s="54">
        <v>8</v>
      </c>
      <c r="C7" s="55">
        <v>3</v>
      </c>
      <c r="D7" s="56"/>
      <c r="E7" s="1"/>
      <c r="F7" s="54">
        <f t="shared" ca="1" si="0"/>
        <v>6</v>
      </c>
      <c r="G7" s="57">
        <f t="shared" ca="1" si="0"/>
        <v>4</v>
      </c>
      <c r="H7" s="58">
        <f t="shared" ca="1" si="0"/>
        <v>9</v>
      </c>
      <c r="I7" s="2"/>
      <c r="J7" s="2"/>
      <c r="K7" s="59">
        <f t="shared" si="1"/>
        <v>8</v>
      </c>
      <c r="L7" s="60">
        <f t="shared" si="1"/>
        <v>1</v>
      </c>
      <c r="M7" s="61">
        <f t="shared" si="1"/>
        <v>2</v>
      </c>
      <c r="N7" s="1"/>
      <c r="O7" s="62">
        <f t="shared" si="2"/>
        <v>2.3636363636363633</v>
      </c>
      <c r="P7" s="63">
        <f t="shared" si="2"/>
        <v>-3.0909090909090908</v>
      </c>
      <c r="Q7" s="64">
        <f t="shared" si="2"/>
        <v>-6.1818181818181817</v>
      </c>
      <c r="R7" s="1"/>
      <c r="S7" s="65">
        <f t="shared" si="3"/>
        <v>5.5867768595041305</v>
      </c>
      <c r="T7" s="66">
        <f t="shared" si="3"/>
        <v>9.5537190082644621</v>
      </c>
      <c r="U7" s="67">
        <f t="shared" si="3"/>
        <v>38.214876033057848</v>
      </c>
      <c r="V7" s="1"/>
      <c r="W7" s="68">
        <f t="shared" si="4"/>
        <v>-7.3057851239669409</v>
      </c>
      <c r="X7" s="69">
        <f t="shared" si="5"/>
        <v>-14.611570247933882</v>
      </c>
      <c r="Y7" s="70">
        <f t="shared" si="6"/>
        <v>19.107438016528924</v>
      </c>
      <c r="Z7" s="1"/>
      <c r="AA7" s="33" t="str">
        <v>b</v>
      </c>
      <c r="AB7" s="71">
        <f>INDEX($C$18:$Y$18,1,AF15)</f>
        <v>-6.4636363636363638</v>
      </c>
      <c r="AC7" s="51">
        <f>INDEX($S$18:$U$18,1,AG15)</f>
        <v>9.4909090909090921</v>
      </c>
      <c r="AD7" s="72">
        <f ca="1">IF(AH1&lt;3,"",INDEX($C$18:$Y$18,1,AH15))</f>
        <v>18.981818181818184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ht="15" customHeight="1" x14ac:dyDescent="0.15">
      <c r="A8" s="1"/>
      <c r="B8" s="54">
        <v>1</v>
      </c>
      <c r="C8" s="55">
        <v>7</v>
      </c>
      <c r="D8" s="56"/>
      <c r="E8" s="1"/>
      <c r="F8" s="54">
        <f t="shared" ca="1" si="0"/>
        <v>7</v>
      </c>
      <c r="G8" s="57">
        <f t="shared" ca="1" si="0"/>
        <v>7</v>
      </c>
      <c r="H8" s="58">
        <f t="shared" ca="1" si="0"/>
        <v>9</v>
      </c>
      <c r="I8" s="2"/>
      <c r="J8" s="2"/>
      <c r="K8" s="59">
        <f t="shared" si="1"/>
        <v>8</v>
      </c>
      <c r="L8" s="60">
        <f t="shared" si="1"/>
        <v>1</v>
      </c>
      <c r="M8" s="61">
        <f t="shared" si="1"/>
        <v>2</v>
      </c>
      <c r="N8" s="1"/>
      <c r="O8" s="62">
        <f t="shared" si="2"/>
        <v>2.3636363636363633</v>
      </c>
      <c r="P8" s="63">
        <f t="shared" si="2"/>
        <v>-3.0909090909090908</v>
      </c>
      <c r="Q8" s="64">
        <f t="shared" si="2"/>
        <v>-6.1818181818181817</v>
      </c>
      <c r="R8" s="1"/>
      <c r="S8" s="65">
        <f t="shared" si="3"/>
        <v>5.5867768595041305</v>
      </c>
      <c r="T8" s="66">
        <f t="shared" si="3"/>
        <v>9.5537190082644621</v>
      </c>
      <c r="U8" s="67">
        <f t="shared" si="3"/>
        <v>38.214876033057848</v>
      </c>
      <c r="V8" s="1"/>
      <c r="W8" s="68">
        <f t="shared" si="4"/>
        <v>-7.3057851239669409</v>
      </c>
      <c r="X8" s="69">
        <f t="shared" si="5"/>
        <v>-14.611570247933882</v>
      </c>
      <c r="Y8" s="70">
        <f t="shared" si="6"/>
        <v>19.107438016528924</v>
      </c>
      <c r="Z8" s="1"/>
      <c r="AA8" s="32" t="str">
        <v>c</v>
      </c>
      <c r="AB8" s="73">
        <f>IF(AH1&lt;3,"",INDEX($C$18:$Y$18,1,AF16))</f>
        <v>-12.927272727272728</v>
      </c>
      <c r="AC8" s="74">
        <f>IF(AH1&lt;3,"",INDEX($C$18:$Y$18,1,AG16))</f>
        <v>18.981818181818184</v>
      </c>
      <c r="AD8" s="75">
        <f>IF(AH1&lt;3,"",INDEX($S$18:$U$18,1,AH16))</f>
        <v>37.963636363636368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</row>
    <row r="9" spans="1:61" ht="12" customHeight="1" x14ac:dyDescent="0.25">
      <c r="A9" s="1"/>
      <c r="B9" s="54">
        <v>7</v>
      </c>
      <c r="C9" s="55">
        <v>4</v>
      </c>
      <c r="D9" s="56"/>
      <c r="E9" s="1"/>
      <c r="F9" s="54">
        <f t="shared" ca="1" si="0"/>
        <v>5</v>
      </c>
      <c r="G9" s="57">
        <f t="shared" ca="1" si="0"/>
        <v>7</v>
      </c>
      <c r="H9" s="58">
        <f t="shared" ca="1" si="0"/>
        <v>8</v>
      </c>
      <c r="I9" s="2"/>
      <c r="J9" s="2"/>
      <c r="K9" s="59">
        <f t="shared" si="1"/>
        <v>7</v>
      </c>
      <c r="L9" s="60">
        <f t="shared" si="1"/>
        <v>1</v>
      </c>
      <c r="M9" s="61">
        <f t="shared" si="1"/>
        <v>2</v>
      </c>
      <c r="N9" s="1"/>
      <c r="O9" s="62">
        <f t="shared" si="2"/>
        <v>1.3636363636363633</v>
      </c>
      <c r="P9" s="63">
        <f t="shared" si="2"/>
        <v>-3.0909090909090908</v>
      </c>
      <c r="Q9" s="64">
        <f t="shared" si="2"/>
        <v>-6.1818181818181817</v>
      </c>
      <c r="R9" s="1"/>
      <c r="S9" s="65">
        <f t="shared" si="3"/>
        <v>1.8595041322314041</v>
      </c>
      <c r="T9" s="66">
        <f t="shared" si="3"/>
        <v>9.5537190082644621</v>
      </c>
      <c r="U9" s="67">
        <f t="shared" si="3"/>
        <v>38.214876033057848</v>
      </c>
      <c r="V9" s="1"/>
      <c r="W9" s="68">
        <f t="shared" si="4"/>
        <v>-4.2148760330578501</v>
      </c>
      <c r="X9" s="69">
        <f t="shared" si="5"/>
        <v>-8.4297520661157002</v>
      </c>
      <c r="Y9" s="70">
        <f t="shared" si="6"/>
        <v>19.107438016528924</v>
      </c>
      <c r="Z9" s="1"/>
      <c r="AA9" s="76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</row>
    <row r="10" spans="1:61" ht="12" customHeight="1" x14ac:dyDescent="0.25">
      <c r="A10" s="1"/>
      <c r="B10" s="54">
        <v>4</v>
      </c>
      <c r="C10" s="55">
        <v>5</v>
      </c>
      <c r="D10" s="56"/>
      <c r="E10" s="1"/>
      <c r="F10" s="54">
        <f t="shared" ca="1" si="0"/>
        <v>5</v>
      </c>
      <c r="G10" s="57">
        <f t="shared" ca="1" si="0"/>
        <v>2</v>
      </c>
      <c r="H10" s="58">
        <f t="shared" ca="1" si="0"/>
        <v>1</v>
      </c>
      <c r="I10" s="2"/>
      <c r="J10" s="2"/>
      <c r="K10" s="59">
        <f t="shared" si="1"/>
        <v>7</v>
      </c>
      <c r="L10" s="60">
        <f t="shared" si="1"/>
        <v>3</v>
      </c>
      <c r="M10" s="61">
        <f t="shared" si="1"/>
        <v>6</v>
      </c>
      <c r="N10" s="1"/>
      <c r="O10" s="62">
        <f t="shared" si="2"/>
        <v>1.3636363636363633</v>
      </c>
      <c r="P10" s="63">
        <f t="shared" si="2"/>
        <v>-1.0909090909090908</v>
      </c>
      <c r="Q10" s="64">
        <f t="shared" si="2"/>
        <v>-2.1818181818181817</v>
      </c>
      <c r="R10" s="1"/>
      <c r="S10" s="65">
        <f t="shared" si="3"/>
        <v>1.8595041322314041</v>
      </c>
      <c r="T10" s="66">
        <f t="shared" si="3"/>
        <v>1.190082644628099</v>
      </c>
      <c r="U10" s="67">
        <f t="shared" si="3"/>
        <v>4.7603305785123959</v>
      </c>
      <c r="V10" s="1"/>
      <c r="W10" s="68">
        <f t="shared" si="4"/>
        <v>-1.4876033057851235</v>
      </c>
      <c r="X10" s="69">
        <f t="shared" si="5"/>
        <v>-2.9752066115702469</v>
      </c>
      <c r="Y10" s="70">
        <f t="shared" si="6"/>
        <v>2.380165289256198</v>
      </c>
      <c r="Z10" s="1"/>
      <c r="AA10" s="76"/>
      <c r="AB10" s="1"/>
      <c r="AC10" s="1"/>
      <c r="AD10" s="1"/>
      <c r="AE10" s="1"/>
      <c r="AF10" s="77">
        <v>11</v>
      </c>
      <c r="AG10" s="78">
        <v>12</v>
      </c>
      <c r="AH10" s="79">
        <v>13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</row>
    <row r="11" spans="1:61" ht="12" customHeight="1" x14ac:dyDescent="0.25">
      <c r="A11" s="1"/>
      <c r="B11" s="54">
        <v>9</v>
      </c>
      <c r="C11" s="55">
        <v>1</v>
      </c>
      <c r="D11" s="56"/>
      <c r="E11" s="1"/>
      <c r="F11" s="54">
        <f t="shared" ca="1" si="0"/>
        <v>7</v>
      </c>
      <c r="G11" s="57">
        <f t="shared" ca="1" si="0"/>
        <v>2</v>
      </c>
      <c r="H11" s="58">
        <f t="shared" ca="1" si="0"/>
        <v>5</v>
      </c>
      <c r="I11" s="2"/>
      <c r="J11" s="2"/>
      <c r="K11" s="59">
        <f t="shared" si="1"/>
        <v>6</v>
      </c>
      <c r="L11" s="60">
        <f t="shared" si="1"/>
        <v>4</v>
      </c>
      <c r="M11" s="61">
        <f t="shared" si="1"/>
        <v>8</v>
      </c>
      <c r="N11" s="1"/>
      <c r="O11" s="62">
        <f t="shared" si="2"/>
        <v>0.36363636363636331</v>
      </c>
      <c r="P11" s="63">
        <f t="shared" si="2"/>
        <v>-9.0909090909090828E-2</v>
      </c>
      <c r="Q11" s="64">
        <f t="shared" si="2"/>
        <v>-0.18181818181818166</v>
      </c>
      <c r="R11" s="1"/>
      <c r="S11" s="65">
        <f t="shared" si="3"/>
        <v>0.13223140495867744</v>
      </c>
      <c r="T11" s="66">
        <f t="shared" si="3"/>
        <v>8.26446280991734E-3</v>
      </c>
      <c r="U11" s="67">
        <f t="shared" si="3"/>
        <v>3.305785123966936E-2</v>
      </c>
      <c r="V11" s="1"/>
      <c r="W11" s="68">
        <f t="shared" si="4"/>
        <v>-3.305785123966936E-2</v>
      </c>
      <c r="X11" s="69">
        <f t="shared" si="5"/>
        <v>-6.611570247933872E-2</v>
      </c>
      <c r="Y11" s="70">
        <f t="shared" si="6"/>
        <v>1.652892561983468E-2</v>
      </c>
      <c r="Z11" s="1"/>
      <c r="AA11" s="80" t="s">
        <v>13</v>
      </c>
      <c r="AB11" s="81" t="s">
        <v>9</v>
      </c>
      <c r="AC11" s="81" t="s">
        <v>10</v>
      </c>
      <c r="AD11" s="81" t="s">
        <v>11</v>
      </c>
      <c r="AE11" s="1"/>
      <c r="AF11" s="82">
        <v>21</v>
      </c>
      <c r="AG11" s="77">
        <v>22</v>
      </c>
      <c r="AH11" s="83">
        <v>23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</row>
    <row r="12" spans="1:61" ht="12" customHeight="1" x14ac:dyDescent="0.25">
      <c r="A12" s="1"/>
      <c r="B12" s="54">
        <v>4</v>
      </c>
      <c r="C12" s="55">
        <v>4</v>
      </c>
      <c r="D12" s="56"/>
      <c r="E12" s="1"/>
      <c r="F12" s="54">
        <f t="shared" ca="1" si="0"/>
        <v>2</v>
      </c>
      <c r="G12" s="57">
        <f t="shared" ca="1" si="0"/>
        <v>2</v>
      </c>
      <c r="H12" s="58">
        <f t="shared" ca="1" si="0"/>
        <v>9</v>
      </c>
      <c r="I12" s="2"/>
      <c r="J12" s="2"/>
      <c r="K12" s="59">
        <f t="shared" si="1"/>
        <v>5</v>
      </c>
      <c r="L12" s="60">
        <f t="shared" si="1"/>
        <v>4</v>
      </c>
      <c r="M12" s="61">
        <f t="shared" si="1"/>
        <v>8</v>
      </c>
      <c r="N12" s="1"/>
      <c r="O12" s="62">
        <f t="shared" si="2"/>
        <v>-0.63636363636363669</v>
      </c>
      <c r="P12" s="63">
        <f t="shared" si="2"/>
        <v>-9.0909090909090828E-2</v>
      </c>
      <c r="Q12" s="64">
        <f t="shared" si="2"/>
        <v>-0.18181818181818166</v>
      </c>
      <c r="R12" s="1"/>
      <c r="S12" s="65">
        <f t="shared" si="3"/>
        <v>0.40495867768595084</v>
      </c>
      <c r="T12" s="66">
        <f t="shared" si="3"/>
        <v>8.26446280991734E-3</v>
      </c>
      <c r="U12" s="67">
        <f t="shared" si="3"/>
        <v>3.305785123966936E-2</v>
      </c>
      <c r="V12" s="1"/>
      <c r="W12" s="68">
        <f t="shared" si="4"/>
        <v>5.7851239669421468E-2</v>
      </c>
      <c r="X12" s="69">
        <f t="shared" si="5"/>
        <v>0.11570247933884294</v>
      </c>
      <c r="Y12" s="70">
        <f t="shared" si="6"/>
        <v>1.652892561983468E-2</v>
      </c>
      <c r="Z12" s="1"/>
      <c r="AA12" s="81" t="s">
        <v>9</v>
      </c>
      <c r="AB12" s="84">
        <f>AB6/($AB$16*$AB$16)</f>
        <v>0.99999999999999978</v>
      </c>
      <c r="AC12" s="85">
        <f ca="1">AC6/($AB$16*$AB$17)</f>
        <v>-0.93321552604960156</v>
      </c>
      <c r="AD12" s="86">
        <f ca="1">AD6/(AB16*AB18)</f>
        <v>-0.93321552604960156</v>
      </c>
      <c r="AE12" s="1"/>
      <c r="AF12" s="87">
        <v>31</v>
      </c>
      <c r="AG12" s="88">
        <v>32</v>
      </c>
      <c r="AH12" s="77">
        <v>33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</row>
    <row r="13" spans="1:61" ht="12" customHeight="1" x14ac:dyDescent="0.25">
      <c r="A13" s="1"/>
      <c r="B13" s="54">
        <v>4</v>
      </c>
      <c r="C13" s="55">
        <v>9</v>
      </c>
      <c r="D13" s="56"/>
      <c r="E13" s="1"/>
      <c r="F13" s="54">
        <f t="shared" ca="1" si="0"/>
        <v>4</v>
      </c>
      <c r="G13" s="57">
        <f t="shared" ca="1" si="0"/>
        <v>4</v>
      </c>
      <c r="H13" s="58">
        <f t="shared" ca="1" si="0"/>
        <v>3</v>
      </c>
      <c r="I13" s="2"/>
      <c r="J13" s="2"/>
      <c r="K13" s="59">
        <f t="shared" si="1"/>
        <v>4</v>
      </c>
      <c r="L13" s="60">
        <f t="shared" si="1"/>
        <v>5</v>
      </c>
      <c r="M13" s="61">
        <f t="shared" si="1"/>
        <v>10</v>
      </c>
      <c r="N13" s="1"/>
      <c r="O13" s="62">
        <f t="shared" si="2"/>
        <v>-1.6363636363636367</v>
      </c>
      <c r="P13" s="63">
        <f t="shared" si="2"/>
        <v>0.90909090909090917</v>
      </c>
      <c r="Q13" s="64">
        <f t="shared" si="2"/>
        <v>1.8181818181818183</v>
      </c>
      <c r="R13" s="1"/>
      <c r="S13" s="65">
        <f t="shared" si="3"/>
        <v>2.677685950413224</v>
      </c>
      <c r="T13" s="66">
        <f t="shared" si="3"/>
        <v>0.82644628099173567</v>
      </c>
      <c r="U13" s="67">
        <f t="shared" si="3"/>
        <v>3.3057851239669427</v>
      </c>
      <c r="V13" s="1"/>
      <c r="W13" s="68">
        <f t="shared" si="4"/>
        <v>-1.4876033057851243</v>
      </c>
      <c r="X13" s="69">
        <f t="shared" si="5"/>
        <v>-2.9752066115702487</v>
      </c>
      <c r="Y13" s="70">
        <f t="shared" si="6"/>
        <v>1.6528925619834713</v>
      </c>
      <c r="Z13" s="1"/>
      <c r="AA13" s="81" t="s">
        <v>10</v>
      </c>
      <c r="AB13" s="89">
        <f>AB7/($AB$17*$AB$16)</f>
        <v>-0.93321552604960156</v>
      </c>
      <c r="AC13" s="84">
        <f>AC7/($AB$17*$AB$17)</f>
        <v>1.0000000000000002</v>
      </c>
      <c r="AD13" s="90">
        <f ca="1">AD7/($AB$17*$AB$18)</f>
        <v>1.0000000000000002</v>
      </c>
      <c r="AE13" s="1"/>
      <c r="AF13" s="1"/>
      <c r="AG13" s="1"/>
      <c r="AH13" s="91" t="s">
        <v>14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r="14" spans="1:61" ht="12" customHeight="1" x14ac:dyDescent="0.25">
      <c r="A14" s="1"/>
      <c r="B14" s="54">
        <v>8</v>
      </c>
      <c r="C14" s="55">
        <v>6</v>
      </c>
      <c r="D14" s="56"/>
      <c r="E14" s="1"/>
      <c r="F14" s="54">
        <f t="shared" ca="1" si="0"/>
        <v>5</v>
      </c>
      <c r="G14" s="57">
        <f t="shared" ca="1" si="0"/>
        <v>1</v>
      </c>
      <c r="H14" s="58">
        <f t="shared" ca="1" si="0"/>
        <v>4</v>
      </c>
      <c r="I14" s="2"/>
      <c r="J14" s="2"/>
      <c r="K14" s="59">
        <f t="shared" si="1"/>
        <v>4</v>
      </c>
      <c r="L14" s="60">
        <f t="shared" si="1"/>
        <v>8</v>
      </c>
      <c r="M14" s="61">
        <f t="shared" si="1"/>
        <v>16</v>
      </c>
      <c r="N14" s="1"/>
      <c r="O14" s="62">
        <f t="shared" si="2"/>
        <v>-1.6363636363636367</v>
      </c>
      <c r="P14" s="63">
        <f t="shared" si="2"/>
        <v>3.9090909090909092</v>
      </c>
      <c r="Q14" s="64">
        <f t="shared" si="2"/>
        <v>7.8181818181818183</v>
      </c>
      <c r="R14" s="1"/>
      <c r="S14" s="65">
        <f t="shared" si="3"/>
        <v>2.677685950413224</v>
      </c>
      <c r="T14" s="66">
        <f t="shared" si="3"/>
        <v>15.28099173553719</v>
      </c>
      <c r="U14" s="67">
        <f t="shared" si="3"/>
        <v>61.123966942148762</v>
      </c>
      <c r="V14" s="1"/>
      <c r="W14" s="68">
        <f t="shared" si="4"/>
        <v>-6.3966942148760344</v>
      </c>
      <c r="X14" s="69">
        <f t="shared" si="5"/>
        <v>-12.793388429752069</v>
      </c>
      <c r="Y14" s="70">
        <f t="shared" si="6"/>
        <v>30.561983471074381</v>
      </c>
      <c r="Z14" s="1"/>
      <c r="AA14" s="81" t="s">
        <v>11</v>
      </c>
      <c r="AB14" s="92">
        <f>AB8/($AB$18*$AB$16)</f>
        <v>-0.93321552604960156</v>
      </c>
      <c r="AC14" s="93">
        <f>AC8/($AB$17*$AB$18)</f>
        <v>1.0000000000000002</v>
      </c>
      <c r="AD14" s="84">
        <f>AD8/($AB$18*$AB$18)</f>
        <v>1.0000000000000002</v>
      </c>
      <c r="AE14" s="1"/>
      <c r="AF14" s="77">
        <f>MATCH(AF10,S4:U4,0)</f>
        <v>1</v>
      </c>
      <c r="AG14" s="78">
        <f ca="1">MATCH(AG10,C4:Y4,0)</f>
        <v>21</v>
      </c>
      <c r="AH14" s="79">
        <f ca="1">MATCH(AH10,C4:Y4,0)</f>
        <v>22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</row>
    <row r="15" spans="1:61" ht="12" customHeight="1" x14ac:dyDescent="0.25">
      <c r="A15" s="1"/>
      <c r="B15" s="54">
        <v>6</v>
      </c>
      <c r="C15" s="55">
        <v>4</v>
      </c>
      <c r="D15" s="56"/>
      <c r="E15" s="1"/>
      <c r="F15" s="54">
        <f t="shared" ca="1" si="0"/>
        <v>5</v>
      </c>
      <c r="G15" s="57">
        <f t="shared" ca="1" si="0"/>
        <v>4</v>
      </c>
      <c r="H15" s="58">
        <f t="shared" ca="1" si="0"/>
        <v>8</v>
      </c>
      <c r="I15" s="2"/>
      <c r="J15" s="2"/>
      <c r="K15" s="59">
        <f t="shared" si="1"/>
        <v>4</v>
      </c>
      <c r="L15" s="60">
        <f t="shared" si="1"/>
        <v>8</v>
      </c>
      <c r="M15" s="61">
        <f t="shared" si="1"/>
        <v>16</v>
      </c>
      <c r="N15" s="1"/>
      <c r="O15" s="62">
        <f t="shared" si="2"/>
        <v>-1.6363636363636367</v>
      </c>
      <c r="P15" s="63">
        <f t="shared" si="2"/>
        <v>3.9090909090909092</v>
      </c>
      <c r="Q15" s="64">
        <f t="shared" si="2"/>
        <v>7.8181818181818183</v>
      </c>
      <c r="R15" s="1"/>
      <c r="S15" s="65">
        <f t="shared" si="3"/>
        <v>2.677685950413224</v>
      </c>
      <c r="T15" s="66">
        <f t="shared" si="3"/>
        <v>15.28099173553719</v>
      </c>
      <c r="U15" s="67">
        <f t="shared" si="3"/>
        <v>61.123966942148762</v>
      </c>
      <c r="V15" s="1"/>
      <c r="W15" s="68">
        <f t="shared" si="4"/>
        <v>-6.3966942148760344</v>
      </c>
      <c r="X15" s="69">
        <f t="shared" si="5"/>
        <v>-12.793388429752069</v>
      </c>
      <c r="Y15" s="70">
        <f t="shared" si="6"/>
        <v>30.561983471074381</v>
      </c>
      <c r="Z15" s="1"/>
      <c r="AA15" s="31"/>
      <c r="AB15" s="94"/>
      <c r="AC15" s="94"/>
      <c r="AD15" s="95"/>
      <c r="AE15" s="1"/>
      <c r="AF15" s="82">
        <f>MATCH(AF11,C5:Y5,0)</f>
        <v>21</v>
      </c>
      <c r="AG15" s="77">
        <f>MATCH(AG11,S4:U4,0)</f>
        <v>2</v>
      </c>
      <c r="AH15" s="83">
        <f ca="1">MATCH(AH11,C4:Y4,0)</f>
        <v>23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</row>
    <row r="16" spans="1:61" ht="12" customHeight="1" x14ac:dyDescent="0.35">
      <c r="A16" s="1"/>
      <c r="B16" s="96">
        <v>5</v>
      </c>
      <c r="C16" s="97">
        <v>4</v>
      </c>
      <c r="D16" s="98"/>
      <c r="E16" s="1"/>
      <c r="F16" s="96">
        <f t="shared" ca="1" si="0"/>
        <v>5</v>
      </c>
      <c r="G16" s="99">
        <f t="shared" ca="1" si="0"/>
        <v>7</v>
      </c>
      <c r="H16" s="100">
        <f t="shared" ca="1" si="0"/>
        <v>2</v>
      </c>
      <c r="I16" s="2"/>
      <c r="J16" s="2"/>
      <c r="K16" s="101">
        <f t="shared" si="1"/>
        <v>1</v>
      </c>
      <c r="L16" s="102">
        <f t="shared" si="1"/>
        <v>9</v>
      </c>
      <c r="M16" s="103">
        <f t="shared" si="1"/>
        <v>18</v>
      </c>
      <c r="N16" s="1"/>
      <c r="O16" s="104">
        <f t="shared" si="2"/>
        <v>-4.6363636363636367</v>
      </c>
      <c r="P16" s="105">
        <f t="shared" si="2"/>
        <v>4.9090909090909092</v>
      </c>
      <c r="Q16" s="106">
        <f t="shared" si="2"/>
        <v>9.8181818181818183</v>
      </c>
      <c r="R16" s="1"/>
      <c r="S16" s="107">
        <f t="shared" si="3"/>
        <v>21.495867768595044</v>
      </c>
      <c r="T16" s="108">
        <f t="shared" si="3"/>
        <v>24.099173553719009</v>
      </c>
      <c r="U16" s="109">
        <f t="shared" si="3"/>
        <v>96.396694214876035</v>
      </c>
      <c r="V16" s="1"/>
      <c r="W16" s="68">
        <f t="shared" si="4"/>
        <v>-22.760330578512399</v>
      </c>
      <c r="X16" s="69">
        <f t="shared" si="5"/>
        <v>-45.520661157024797</v>
      </c>
      <c r="Y16" s="70">
        <f t="shared" si="6"/>
        <v>48.198347107438018</v>
      </c>
      <c r="Z16" s="1"/>
      <c r="AA16" s="110" t="s">
        <v>15</v>
      </c>
      <c r="AB16" s="111">
        <f>SQRT(S18)</f>
        <v>2.2482316283126735</v>
      </c>
      <c r="AC16" s="112"/>
      <c r="AD16" s="31"/>
      <c r="AE16" s="1"/>
      <c r="AF16" s="87">
        <f>MATCH(AF12,C5:Y5,0)</f>
        <v>22</v>
      </c>
      <c r="AG16" s="88">
        <f>MATCH(AG12,C5:Y5,0)</f>
        <v>23</v>
      </c>
      <c r="AH16" s="77">
        <f>MATCH(AH12,S4:U4,0)</f>
        <v>3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</row>
    <row r="17" spans="1:61" ht="15.75" customHeight="1" x14ac:dyDescent="0.35">
      <c r="A17" s="1"/>
      <c r="B17" s="1"/>
      <c r="C17" s="1"/>
      <c r="D17" s="1"/>
      <c r="E17" s="1"/>
      <c r="F17" s="1"/>
      <c r="G17" s="1"/>
      <c r="H17" s="1"/>
      <c r="I17" s="2"/>
      <c r="J17" s="2"/>
      <c r="K17" s="113" t="s">
        <v>16</v>
      </c>
      <c r="L17" s="114"/>
      <c r="M17" s="113"/>
      <c r="N17" s="115"/>
      <c r="O17" s="116">
        <f>AVERAGEIF(K6:K16,"&lt;&gt;0",K6:K16)</f>
        <v>5.6363636363636367</v>
      </c>
      <c r="P17" s="116">
        <f>AVERAGEIF(L6:L16,"&lt;&gt;0",L6:L16)</f>
        <v>4.0909090909090908</v>
      </c>
      <c r="Q17" s="116">
        <f>IF(ISNUMBER(AVERAGEIF(M6:M16,"&lt;&gt;0",M6:M16)),AVERAGEIF(M6:M16,"&lt;&gt;0",M6:M16),"")</f>
        <v>8.1818181818181817</v>
      </c>
      <c r="R17" s="1"/>
      <c r="S17" s="117" t="s">
        <v>17</v>
      </c>
      <c r="T17" s="117" t="s">
        <v>18</v>
      </c>
      <c r="U17" s="118" t="s">
        <v>12</v>
      </c>
      <c r="V17" s="1"/>
      <c r="W17" s="119" t="s">
        <v>19</v>
      </c>
      <c r="X17" s="120" t="s">
        <v>20</v>
      </c>
      <c r="Y17" s="121" t="s">
        <v>21</v>
      </c>
      <c r="Z17" s="1"/>
      <c r="AA17" s="110" t="s">
        <v>22</v>
      </c>
      <c r="AB17" s="111">
        <f>SQRT(T18)</f>
        <v>3.080731908314823</v>
      </c>
      <c r="AC17" s="112"/>
      <c r="AD17" s="31"/>
      <c r="AE17" s="1"/>
      <c r="AF17" s="1"/>
      <c r="AG17" s="1"/>
      <c r="AH17" s="91" t="s">
        <v>14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 spans="1:61" s="133" customFormat="1" ht="12" customHeight="1" x14ac:dyDescent="0.35">
      <c r="A18" s="17"/>
      <c r="B18" s="17"/>
      <c r="C18" s="17"/>
      <c r="D18" s="17"/>
      <c r="E18" s="17"/>
      <c r="F18" s="17"/>
      <c r="G18" s="17"/>
      <c r="H18" s="17"/>
      <c r="I18" s="122"/>
      <c r="J18" s="122"/>
      <c r="K18" s="123" t="s">
        <v>23</v>
      </c>
      <c r="L18" s="124"/>
      <c r="M18" s="123"/>
      <c r="N18" s="125"/>
      <c r="O18" s="126">
        <f t="shared" ref="O18:P18" si="7">IF(ISNUMBER(_xlfn.VAR.S(L29:L39)),_xlfn.VAR.S(L29:L39),"")</f>
        <v>5.0545454545454565</v>
      </c>
      <c r="P18" s="126">
        <f t="shared" si="7"/>
        <v>9.4909090909090903</v>
      </c>
      <c r="Q18" s="127">
        <f>IF(ISNUMBER(_xlfn.VAR.S(N29:N39)),_xlfn.VAR.S(N29:N39),"")</f>
        <v>37.963636363636361</v>
      </c>
      <c r="R18" s="17"/>
      <c r="S18" s="128">
        <f>SUM(S6:S16)/(COUNT(S6:S16)-1)</f>
        <v>5.0545454545454547</v>
      </c>
      <c r="T18" s="128">
        <f t="shared" ref="T18:U18" si="8">SUM(T6:T16)/(COUNT(T6:T16)-1)</f>
        <v>9.4909090909090921</v>
      </c>
      <c r="U18" s="129">
        <f t="shared" si="8"/>
        <v>37.963636363636368</v>
      </c>
      <c r="V18" s="17"/>
      <c r="W18" s="130">
        <f>SUM(W6:W16)/(COUNT(C6:C16)-1)</f>
        <v>-6.4636363636363638</v>
      </c>
      <c r="X18" s="131">
        <f>IF(ISNUMBER(SUM(X6:X16)/(COUNT(X6:X16)-1)),SUM(X6:X16)/(COUNT(X6:X16)-1),"")</f>
        <v>-12.927272727272728</v>
      </c>
      <c r="Y18" s="132">
        <f>IF(ISNUMBER(SUM(Y6:Y16)/(COUNT(Y6:Y16)-1)),SUM(Y6:Y16)/(COUNT(Y6:Y16)-1),"")</f>
        <v>18.981818181818184</v>
      </c>
      <c r="Z18" s="1"/>
      <c r="AA18" s="110" t="s">
        <v>24</v>
      </c>
      <c r="AB18" s="111">
        <f>SQRT(U18)</f>
        <v>6.161463816629646</v>
      </c>
      <c r="AC18" s="112"/>
      <c r="AD18" s="31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</row>
    <row r="19" spans="1:61" s="133" customFormat="1" ht="9.75" customHeight="1" x14ac:dyDescent="0.25">
      <c r="A19" s="17"/>
      <c r="B19" s="17"/>
      <c r="C19" s="17"/>
      <c r="D19" s="17"/>
      <c r="E19" s="17"/>
      <c r="F19" s="17"/>
      <c r="G19" s="17"/>
      <c r="H19" s="17"/>
      <c r="I19" s="122"/>
      <c r="J19" s="122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"/>
      <c r="AA19" s="31"/>
      <c r="AB19" s="1"/>
      <c r="AC19" s="1"/>
      <c r="AD19" s="31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</row>
    <row r="20" spans="1:61" ht="11.25" customHeight="1" x14ac:dyDescent="0.25">
      <c r="A20" s="1"/>
      <c r="B20" s="18" t="s">
        <v>25</v>
      </c>
      <c r="C20" s="18"/>
      <c r="D20" s="18"/>
      <c r="E20" s="1"/>
      <c r="F20" s="18" t="s">
        <v>26</v>
      </c>
      <c r="G20" s="18"/>
      <c r="H20" s="18"/>
      <c r="I20" s="2"/>
      <c r="J20" s="2"/>
      <c r="K20" s="3">
        <f>_xlfn.VAR.P(L29:L39)</f>
        <v>4.5950413223140494</v>
      </c>
      <c r="L20" s="3">
        <f>_xlfn.VAR.P(M29:M39)</f>
        <v>8.6280991735537196</v>
      </c>
      <c r="M20" s="3">
        <f>_xlfn.VAR.P(N29:N39)</f>
        <v>34.512396694214878</v>
      </c>
      <c r="N20" s="20"/>
      <c r="O20" s="134" t="s">
        <v>27</v>
      </c>
      <c r="P20" s="20"/>
      <c r="Q20" s="20"/>
      <c r="R20" s="1"/>
      <c r="S20" s="3">
        <f>SUM(S6:S16)/COUNT(S6:S16)</f>
        <v>4.5950413223140494</v>
      </c>
      <c r="T20" s="3">
        <f>SUM(T6:T16)/COUNT(T6:T16)</f>
        <v>8.6280991735537196</v>
      </c>
      <c r="U20" s="3">
        <f ca="1">SUM(U6:U16)/COUNT(U6:XO16)</f>
        <v>4.6868686868686877</v>
      </c>
      <c r="V20" s="1"/>
      <c r="W20" s="1"/>
      <c r="X20" s="1"/>
      <c r="Y20" s="1"/>
      <c r="Z20" s="1"/>
      <c r="AA20" s="31"/>
      <c r="AB20" s="1"/>
      <c r="AC20" s="1"/>
      <c r="AD20" s="3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1" ht="15" customHeight="1" x14ac:dyDescent="0.25">
      <c r="A21" s="1" t="s">
        <v>28</v>
      </c>
      <c r="B21" s="1"/>
      <c r="C21" s="1"/>
      <c r="D21" s="1"/>
      <c r="E21" s="1"/>
      <c r="F21" s="1"/>
      <c r="G21" s="1"/>
      <c r="H21" s="1"/>
      <c r="I21" s="2">
        <v>2</v>
      </c>
      <c r="J21" s="2"/>
      <c r="K21" s="1"/>
      <c r="L21" s="12"/>
      <c r="M21" s="12"/>
      <c r="N21" s="12"/>
      <c r="O21" s="1"/>
      <c r="P21" s="1"/>
      <c r="Q21" s="1"/>
      <c r="R21" s="1"/>
      <c r="S21" s="135"/>
      <c r="T21" s="135"/>
      <c r="U21" s="135"/>
      <c r="V21" s="1"/>
      <c r="W21" s="1"/>
      <c r="X21" s="1"/>
      <c r="Y21" s="1"/>
      <c r="Z21" s="1"/>
      <c r="AA21" s="31"/>
      <c r="AB21" s="1"/>
      <c r="AC21" s="1"/>
      <c r="AD21" s="3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  <row r="22" spans="1:61" ht="15" customHeight="1" x14ac:dyDescent="0.25">
      <c r="A22" s="1" t="s">
        <v>28</v>
      </c>
      <c r="B22" s="39">
        <v>8</v>
      </c>
      <c r="C22" s="40">
        <v>1</v>
      </c>
      <c r="D22" s="136">
        <f>C22*2</f>
        <v>2</v>
      </c>
      <c r="E22" s="137">
        <v>7</v>
      </c>
      <c r="F22" s="138">
        <v>1</v>
      </c>
      <c r="G22" s="139">
        <v>1</v>
      </c>
      <c r="H22" s="136">
        <v>1</v>
      </c>
      <c r="I22" s="2">
        <f>B22*$I$21</f>
        <v>16</v>
      </c>
      <c r="J22" s="2"/>
      <c r="K22" s="1"/>
      <c r="L22" s="140" t="s">
        <v>29</v>
      </c>
      <c r="M22" s="141">
        <v>1</v>
      </c>
      <c r="N22" s="141">
        <f>M22+1</f>
        <v>2</v>
      </c>
      <c r="O22" s="141">
        <f t="shared" ref="O22:U22" si="9">N22+1</f>
        <v>3</v>
      </c>
      <c r="P22" s="141">
        <f t="shared" si="9"/>
        <v>4</v>
      </c>
      <c r="Q22" s="141">
        <f t="shared" si="9"/>
        <v>5</v>
      </c>
      <c r="R22" s="141">
        <f t="shared" si="9"/>
        <v>6</v>
      </c>
      <c r="S22" s="141">
        <f t="shared" si="9"/>
        <v>7</v>
      </c>
      <c r="T22" s="141">
        <f t="shared" si="9"/>
        <v>8</v>
      </c>
      <c r="U22" s="141">
        <f t="shared" si="9"/>
        <v>9</v>
      </c>
      <c r="V22" s="1"/>
      <c r="W22" s="1"/>
      <c r="X22" s="1"/>
      <c r="Y22" s="1"/>
      <c r="Z22" s="1"/>
      <c r="AA22" s="31"/>
      <c r="AB22" s="1"/>
      <c r="AC22" s="1"/>
      <c r="AD22" s="3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</row>
    <row r="23" spans="1:61" ht="15" customHeight="1" x14ac:dyDescent="0.25">
      <c r="A23" s="1"/>
      <c r="B23" s="59">
        <v>8</v>
      </c>
      <c r="C23" s="60">
        <v>1</v>
      </c>
      <c r="D23" s="136">
        <f t="shared" ref="D23:D32" si="10">C23*2</f>
        <v>2</v>
      </c>
      <c r="E23" s="137">
        <v>3</v>
      </c>
      <c r="F23" s="142">
        <v>1</v>
      </c>
      <c r="G23" s="7">
        <v>2</v>
      </c>
      <c r="H23" s="143">
        <v>1</v>
      </c>
      <c r="I23" s="2">
        <f t="shared" ref="I23:I32" si="11">C23*$I$21</f>
        <v>2</v>
      </c>
      <c r="J23" s="2"/>
      <c r="K23" s="1"/>
      <c r="L23" s="144" t="s">
        <v>30</v>
      </c>
      <c r="M23" s="57"/>
      <c r="N23" s="57"/>
      <c r="O23" s="57"/>
      <c r="P23" s="57"/>
      <c r="Q23" s="57"/>
      <c r="R23" s="57"/>
      <c r="S23" s="57"/>
      <c r="T23" s="57"/>
      <c r="U23" s="57"/>
      <c r="V23" s="1"/>
      <c r="W23" s="1"/>
      <c r="X23" s="1"/>
      <c r="Y23" s="1"/>
      <c r="Z23" s="1"/>
      <c r="AA23" s="31"/>
      <c r="AB23" s="1"/>
      <c r="AC23" s="1"/>
      <c r="AD23" s="3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</row>
    <row r="24" spans="1:61" ht="21" customHeight="1" x14ac:dyDescent="0.25">
      <c r="A24" s="1"/>
      <c r="B24" s="59">
        <v>8</v>
      </c>
      <c r="C24" s="60">
        <v>1</v>
      </c>
      <c r="D24" s="136">
        <f t="shared" si="10"/>
        <v>2</v>
      </c>
      <c r="E24" s="137">
        <v>5</v>
      </c>
      <c r="F24" s="142">
        <v>1</v>
      </c>
      <c r="G24" s="7">
        <v>3</v>
      </c>
      <c r="H24" s="143">
        <v>2</v>
      </c>
      <c r="I24" s="2">
        <f t="shared" si="11"/>
        <v>2</v>
      </c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31"/>
      <c r="AB24" s="1"/>
      <c r="AC24" s="1"/>
      <c r="AD24" s="3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</row>
    <row r="25" spans="1:61" ht="17.25" customHeight="1" x14ac:dyDescent="0.25">
      <c r="A25" s="1"/>
      <c r="B25" s="59">
        <v>7</v>
      </c>
      <c r="C25" s="60">
        <v>1</v>
      </c>
      <c r="D25" s="136">
        <f t="shared" si="10"/>
        <v>2</v>
      </c>
      <c r="E25" s="137">
        <v>2</v>
      </c>
      <c r="F25" s="142">
        <v>1</v>
      </c>
      <c r="G25" s="7">
        <v>4</v>
      </c>
      <c r="H25" s="143">
        <v>3</v>
      </c>
      <c r="I25" s="2">
        <f t="shared" si="11"/>
        <v>2</v>
      </c>
      <c r="J25" s="2"/>
      <c r="K25" s="91"/>
      <c r="L25" s="145" t="str">
        <f>S5</f>
        <v>VAR</v>
      </c>
      <c r="M25" s="146">
        <f t="array" ref="M25:U25">MMULT(K6:K16,M22:U22)</f>
        <v>8</v>
      </c>
      <c r="N25" s="146">
        <v>16</v>
      </c>
      <c r="O25" s="146">
        <v>24</v>
      </c>
      <c r="P25" s="146">
        <v>32</v>
      </c>
      <c r="Q25" s="146">
        <v>40</v>
      </c>
      <c r="R25" s="146">
        <v>48</v>
      </c>
      <c r="S25" s="146">
        <v>56</v>
      </c>
      <c r="T25" s="146">
        <v>64</v>
      </c>
      <c r="U25" s="146">
        <v>72</v>
      </c>
      <c r="V25" s="1"/>
      <c r="W25" s="147" t="s">
        <v>31</v>
      </c>
      <c r="X25" s="148"/>
      <c r="Y25" s="1"/>
      <c r="Z25" s="1"/>
      <c r="AA25" s="1"/>
      <c r="AB25" s="76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</row>
    <row r="26" spans="1:61" ht="17.25" customHeight="1" x14ac:dyDescent="0.25">
      <c r="A26" s="1"/>
      <c r="B26" s="59">
        <v>7</v>
      </c>
      <c r="C26" s="60">
        <v>3</v>
      </c>
      <c r="D26" s="136">
        <f t="shared" si="10"/>
        <v>6</v>
      </c>
      <c r="E26" s="137">
        <v>1</v>
      </c>
      <c r="F26" s="149"/>
      <c r="G26" s="150"/>
      <c r="H26" s="151"/>
      <c r="I26" s="2">
        <f t="shared" si="11"/>
        <v>6</v>
      </c>
      <c r="J26" s="2"/>
      <c r="K26" s="1"/>
      <c r="L26" s="152" t="str">
        <f>L25</f>
        <v>VAR</v>
      </c>
      <c r="M26" s="153">
        <f t="array" ref="M26:U26">MMULT(L6:L16,M22:U22)</f>
        <v>1</v>
      </c>
      <c r="N26" s="153">
        <v>2</v>
      </c>
      <c r="O26" s="153">
        <v>3</v>
      </c>
      <c r="P26" s="153">
        <v>4</v>
      </c>
      <c r="Q26" s="153">
        <v>5</v>
      </c>
      <c r="R26" s="153">
        <v>6</v>
      </c>
      <c r="S26" s="153">
        <v>7</v>
      </c>
      <c r="T26" s="153">
        <v>8</v>
      </c>
      <c r="U26" s="153">
        <v>9</v>
      </c>
      <c r="V26" s="1"/>
      <c r="W26" s="154" t="s">
        <v>32</v>
      </c>
      <c r="X26" s="148"/>
      <c r="Y26" s="1"/>
      <c r="Z26" s="1"/>
      <c r="AA26" s="1"/>
      <c r="AB26" s="3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</row>
    <row r="27" spans="1:61" ht="13.5" customHeight="1" x14ac:dyDescent="0.25">
      <c r="A27" s="1"/>
      <c r="B27" s="59">
        <v>6</v>
      </c>
      <c r="C27" s="60">
        <v>4</v>
      </c>
      <c r="D27" s="136">
        <f t="shared" si="10"/>
        <v>8</v>
      </c>
      <c r="E27" s="137">
        <v>4</v>
      </c>
      <c r="F27" s="149"/>
      <c r="G27" s="150"/>
      <c r="H27" s="151"/>
      <c r="I27" s="2">
        <f t="shared" si="11"/>
        <v>8</v>
      </c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</row>
    <row r="28" spans="1:61" ht="13.5" customHeight="1" x14ac:dyDescent="0.25">
      <c r="A28" s="1"/>
      <c r="B28" s="59">
        <v>5</v>
      </c>
      <c r="C28" s="60">
        <v>4</v>
      </c>
      <c r="D28" s="136">
        <f t="shared" si="10"/>
        <v>8</v>
      </c>
      <c r="E28" s="137">
        <v>5</v>
      </c>
      <c r="F28" s="149"/>
      <c r="G28" s="150"/>
      <c r="H28" s="151"/>
      <c r="I28" s="2">
        <f t="shared" si="11"/>
        <v>8</v>
      </c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</row>
    <row r="29" spans="1:61" ht="11.25" customHeight="1" x14ac:dyDescent="0.25">
      <c r="A29" s="1"/>
      <c r="B29" s="59">
        <v>4</v>
      </c>
      <c r="C29" s="60">
        <v>5</v>
      </c>
      <c r="D29" s="136">
        <f t="shared" si="10"/>
        <v>10</v>
      </c>
      <c r="E29" s="137">
        <v>2</v>
      </c>
      <c r="F29" s="149"/>
      <c r="G29" s="150"/>
      <c r="H29" s="151"/>
      <c r="I29" s="2">
        <f t="shared" si="11"/>
        <v>10</v>
      </c>
      <c r="J29" s="2"/>
      <c r="K29" s="155">
        <v>1</v>
      </c>
      <c r="L29" s="156">
        <f t="shared" ref="L29:N39" si="12">IF(K6=0,"",K6)</f>
        <v>8</v>
      </c>
      <c r="M29" s="157">
        <f t="shared" si="12"/>
        <v>1</v>
      </c>
      <c r="N29" s="158">
        <f t="shared" si="12"/>
        <v>2</v>
      </c>
      <c r="O29" s="155"/>
      <c r="P29" s="156">
        <f t="shared" ref="P29:R39" si="13">IF(K6=0,"",K6-O$17)</f>
        <v>2.3636363636363633</v>
      </c>
      <c r="Q29" s="157">
        <f t="shared" si="13"/>
        <v>-3.0909090909090908</v>
      </c>
      <c r="R29" s="158">
        <f t="shared" si="13"/>
        <v>-6.1818181818181817</v>
      </c>
      <c r="S29" s="158">
        <f t="shared" ref="S29:S39" si="14">IF(K6=0,"",(K6-O$17)^2)</f>
        <v>5.5867768595041305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r="30" spans="1:61" ht="11.25" customHeight="1" x14ac:dyDescent="0.25">
      <c r="A30" s="1"/>
      <c r="B30" s="59">
        <v>4</v>
      </c>
      <c r="C30" s="60">
        <v>8</v>
      </c>
      <c r="D30" s="136">
        <f t="shared" si="10"/>
        <v>16</v>
      </c>
      <c r="E30" s="137">
        <v>5</v>
      </c>
      <c r="F30" s="149"/>
      <c r="G30" s="150"/>
      <c r="H30" s="151"/>
      <c r="I30" s="2">
        <f t="shared" si="11"/>
        <v>16</v>
      </c>
      <c r="J30" s="2"/>
      <c r="K30" s="155">
        <f>K29+1</f>
        <v>2</v>
      </c>
      <c r="L30" s="159">
        <f t="shared" si="12"/>
        <v>8</v>
      </c>
      <c r="M30" s="155">
        <f t="shared" si="12"/>
        <v>1</v>
      </c>
      <c r="N30" s="160">
        <f t="shared" si="12"/>
        <v>2</v>
      </c>
      <c r="O30" s="155"/>
      <c r="P30" s="159">
        <f t="shared" si="13"/>
        <v>2.3636363636363633</v>
      </c>
      <c r="Q30" s="155">
        <f t="shared" si="13"/>
        <v>-3.0909090909090908</v>
      </c>
      <c r="R30" s="160">
        <f t="shared" si="13"/>
        <v>-6.1818181818181817</v>
      </c>
      <c r="S30" s="160">
        <f t="shared" si="14"/>
        <v>5.5867768595041305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</row>
    <row r="31" spans="1:61" ht="11.25" customHeight="1" x14ac:dyDescent="0.25">
      <c r="A31" s="1"/>
      <c r="B31" s="59">
        <v>4</v>
      </c>
      <c r="C31" s="60">
        <v>8</v>
      </c>
      <c r="D31" s="136">
        <f t="shared" si="10"/>
        <v>16</v>
      </c>
      <c r="E31" s="137">
        <v>9</v>
      </c>
      <c r="F31" s="149"/>
      <c r="G31" s="150"/>
      <c r="H31" s="151"/>
      <c r="I31" s="2">
        <f t="shared" si="11"/>
        <v>16</v>
      </c>
      <c r="J31" s="2"/>
      <c r="K31" s="155">
        <f t="shared" ref="K31:K39" si="15">K30+1</f>
        <v>3</v>
      </c>
      <c r="L31" s="159">
        <f t="shared" si="12"/>
        <v>8</v>
      </c>
      <c r="M31" s="155">
        <f t="shared" si="12"/>
        <v>1</v>
      </c>
      <c r="N31" s="160">
        <f t="shared" si="12"/>
        <v>2</v>
      </c>
      <c r="O31" s="155"/>
      <c r="P31" s="159">
        <f t="shared" si="13"/>
        <v>2.3636363636363633</v>
      </c>
      <c r="Q31" s="155">
        <f t="shared" si="13"/>
        <v>-3.0909090909090908</v>
      </c>
      <c r="R31" s="160">
        <f t="shared" si="13"/>
        <v>-6.1818181818181817</v>
      </c>
      <c r="S31" s="160">
        <f t="shared" si="14"/>
        <v>5.5867768595041305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</row>
    <row r="32" spans="1:61" ht="11.25" customHeight="1" x14ac:dyDescent="0.25">
      <c r="A32" s="1"/>
      <c r="B32" s="101">
        <v>1</v>
      </c>
      <c r="C32" s="102">
        <v>9</v>
      </c>
      <c r="D32" s="136">
        <f t="shared" si="10"/>
        <v>18</v>
      </c>
      <c r="E32" s="137">
        <v>9</v>
      </c>
      <c r="F32" s="161"/>
      <c r="G32" s="162"/>
      <c r="H32" s="163"/>
      <c r="I32" s="2">
        <f t="shared" si="11"/>
        <v>18</v>
      </c>
      <c r="J32" s="2"/>
      <c r="K32" s="155">
        <f t="shared" si="15"/>
        <v>4</v>
      </c>
      <c r="L32" s="159">
        <f t="shared" si="12"/>
        <v>7</v>
      </c>
      <c r="M32" s="155">
        <f t="shared" si="12"/>
        <v>1</v>
      </c>
      <c r="N32" s="160">
        <f t="shared" si="12"/>
        <v>2</v>
      </c>
      <c r="O32" s="155"/>
      <c r="P32" s="159">
        <f t="shared" si="13"/>
        <v>1.3636363636363633</v>
      </c>
      <c r="Q32" s="155">
        <f t="shared" si="13"/>
        <v>-3.0909090909090908</v>
      </c>
      <c r="R32" s="160">
        <f t="shared" si="13"/>
        <v>-6.1818181818181817</v>
      </c>
      <c r="S32" s="160">
        <f t="shared" si="14"/>
        <v>1.8595041322314041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</row>
    <row r="33" spans="1:61" ht="11.25" customHeight="1" x14ac:dyDescent="0.25">
      <c r="A33" s="1"/>
      <c r="B33" s="1"/>
      <c r="C33" s="1"/>
      <c r="D33" s="1"/>
      <c r="E33" s="1"/>
      <c r="F33" s="1"/>
      <c r="G33" s="1"/>
      <c r="H33" s="1"/>
      <c r="I33" s="2"/>
      <c r="J33" s="2"/>
      <c r="K33" s="155">
        <f t="shared" si="15"/>
        <v>5</v>
      </c>
      <c r="L33" s="159">
        <f t="shared" si="12"/>
        <v>7</v>
      </c>
      <c r="M33" s="155">
        <f t="shared" si="12"/>
        <v>3</v>
      </c>
      <c r="N33" s="160">
        <f t="shared" si="12"/>
        <v>6</v>
      </c>
      <c r="O33" s="155"/>
      <c r="P33" s="159">
        <f t="shared" si="13"/>
        <v>1.3636363636363633</v>
      </c>
      <c r="Q33" s="155">
        <f t="shared" si="13"/>
        <v>-1.0909090909090908</v>
      </c>
      <c r="R33" s="160">
        <f t="shared" si="13"/>
        <v>-2.1818181818181817</v>
      </c>
      <c r="S33" s="160">
        <f t="shared" si="14"/>
        <v>1.8595041322314041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</row>
    <row r="34" spans="1:61" ht="11.25" customHeight="1" x14ac:dyDescent="0.25">
      <c r="A34" s="1"/>
      <c r="B34" s="18" t="s">
        <v>33</v>
      </c>
      <c r="C34" s="18"/>
      <c r="D34" s="1"/>
      <c r="E34" s="1"/>
      <c r="F34" s="1"/>
      <c r="G34" s="1"/>
      <c r="H34" s="1"/>
      <c r="I34" s="2"/>
      <c r="J34" s="2"/>
      <c r="K34" s="155">
        <f t="shared" si="15"/>
        <v>6</v>
      </c>
      <c r="L34" s="159">
        <f t="shared" si="12"/>
        <v>6</v>
      </c>
      <c r="M34" s="155">
        <f t="shared" si="12"/>
        <v>4</v>
      </c>
      <c r="N34" s="160">
        <f t="shared" si="12"/>
        <v>8</v>
      </c>
      <c r="O34" s="155"/>
      <c r="P34" s="159">
        <f t="shared" si="13"/>
        <v>0.36363636363636331</v>
      </c>
      <c r="Q34" s="155">
        <f t="shared" si="13"/>
        <v>-9.0909090909090828E-2</v>
      </c>
      <c r="R34" s="160">
        <f t="shared" si="13"/>
        <v>-0.18181818181818166</v>
      </c>
      <c r="S34" s="160">
        <f t="shared" si="14"/>
        <v>0.13223140495867744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</row>
    <row r="35" spans="1:61" ht="11.25" customHeight="1" x14ac:dyDescent="0.25">
      <c r="A35" s="1"/>
      <c r="B35" s="1"/>
      <c r="C35" s="1"/>
      <c r="D35" s="1"/>
      <c r="E35" s="1"/>
      <c r="F35" s="1"/>
      <c r="G35" s="1"/>
      <c r="H35" s="1"/>
      <c r="I35" s="2"/>
      <c r="J35" s="2"/>
      <c r="K35" s="155">
        <f t="shared" si="15"/>
        <v>7</v>
      </c>
      <c r="L35" s="159">
        <f t="shared" si="12"/>
        <v>5</v>
      </c>
      <c r="M35" s="155">
        <f t="shared" si="12"/>
        <v>4</v>
      </c>
      <c r="N35" s="160">
        <f t="shared" si="12"/>
        <v>8</v>
      </c>
      <c r="O35" s="155"/>
      <c r="P35" s="159">
        <f t="shared" si="13"/>
        <v>-0.63636363636363669</v>
      </c>
      <c r="Q35" s="155">
        <f t="shared" si="13"/>
        <v>-9.0909090909090828E-2</v>
      </c>
      <c r="R35" s="160">
        <f t="shared" si="13"/>
        <v>-0.18181818181818166</v>
      </c>
      <c r="S35" s="160">
        <f t="shared" si="14"/>
        <v>0.40495867768595084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</row>
    <row r="36" spans="1:61" ht="11.25" customHeight="1" x14ac:dyDescent="0.25">
      <c r="A36" s="1"/>
      <c r="B36" s="138">
        <v>1</v>
      </c>
      <c r="C36" s="139">
        <v>4</v>
      </c>
      <c r="D36" s="164">
        <v>7</v>
      </c>
      <c r="E36" s="1"/>
      <c r="F36" s="1"/>
      <c r="G36" s="1"/>
      <c r="H36" s="1"/>
      <c r="I36" s="2"/>
      <c r="J36" s="2"/>
      <c r="K36" s="155">
        <f t="shared" si="15"/>
        <v>8</v>
      </c>
      <c r="L36" s="159">
        <f t="shared" si="12"/>
        <v>4</v>
      </c>
      <c r="M36" s="155">
        <f t="shared" si="12"/>
        <v>5</v>
      </c>
      <c r="N36" s="160">
        <f t="shared" si="12"/>
        <v>10</v>
      </c>
      <c r="O36" s="155"/>
      <c r="P36" s="159">
        <f t="shared" si="13"/>
        <v>-1.6363636363636367</v>
      </c>
      <c r="Q36" s="155">
        <f t="shared" si="13"/>
        <v>0.90909090909090917</v>
      </c>
      <c r="R36" s="160">
        <f t="shared" si="13"/>
        <v>1.8181818181818183</v>
      </c>
      <c r="S36" s="160">
        <f t="shared" si="14"/>
        <v>2.677685950413224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</row>
    <row r="37" spans="1:61" ht="11.25" customHeight="1" x14ac:dyDescent="0.25">
      <c r="A37" s="1"/>
      <c r="B37" s="142">
        <v>2</v>
      </c>
      <c r="C37" s="7">
        <v>5</v>
      </c>
      <c r="D37" s="165">
        <v>8</v>
      </c>
      <c r="E37" s="1"/>
      <c r="F37" s="1"/>
      <c r="G37" s="1"/>
      <c r="H37" s="1"/>
      <c r="I37" s="2"/>
      <c r="J37" s="2"/>
      <c r="K37" s="155">
        <f t="shared" si="15"/>
        <v>9</v>
      </c>
      <c r="L37" s="159">
        <f t="shared" si="12"/>
        <v>4</v>
      </c>
      <c r="M37" s="155">
        <f t="shared" si="12"/>
        <v>8</v>
      </c>
      <c r="N37" s="160">
        <f t="shared" si="12"/>
        <v>16</v>
      </c>
      <c r="O37" s="155"/>
      <c r="P37" s="159">
        <f t="shared" si="13"/>
        <v>-1.6363636363636367</v>
      </c>
      <c r="Q37" s="155">
        <f t="shared" si="13"/>
        <v>3.9090909090909092</v>
      </c>
      <c r="R37" s="160">
        <f t="shared" si="13"/>
        <v>7.8181818181818183</v>
      </c>
      <c r="S37" s="160">
        <f t="shared" si="14"/>
        <v>2.677685950413224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</row>
    <row r="38" spans="1:61" ht="11.25" customHeight="1" x14ac:dyDescent="0.25">
      <c r="A38" s="1"/>
      <c r="B38" s="142">
        <v>3</v>
      </c>
      <c r="C38" s="7">
        <v>6</v>
      </c>
      <c r="D38" s="165">
        <v>9</v>
      </c>
      <c r="E38" s="1"/>
      <c r="F38" s="1"/>
      <c r="G38" s="1"/>
      <c r="H38" s="1"/>
      <c r="I38" s="2"/>
      <c r="J38" s="2"/>
      <c r="K38" s="155">
        <f t="shared" si="15"/>
        <v>10</v>
      </c>
      <c r="L38" s="159">
        <f t="shared" si="12"/>
        <v>4</v>
      </c>
      <c r="M38" s="155">
        <f t="shared" si="12"/>
        <v>8</v>
      </c>
      <c r="N38" s="160">
        <f t="shared" si="12"/>
        <v>16</v>
      </c>
      <c r="O38" s="155"/>
      <c r="P38" s="159">
        <f t="shared" si="13"/>
        <v>-1.6363636363636367</v>
      </c>
      <c r="Q38" s="155">
        <f t="shared" si="13"/>
        <v>3.9090909090909092</v>
      </c>
      <c r="R38" s="160">
        <f t="shared" si="13"/>
        <v>7.8181818181818183</v>
      </c>
      <c r="S38" s="160">
        <f t="shared" si="14"/>
        <v>2.677685950413224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</row>
    <row r="39" spans="1:61" ht="11.25" customHeight="1" x14ac:dyDescent="0.25">
      <c r="A39" s="1"/>
      <c r="B39" s="142">
        <v>4</v>
      </c>
      <c r="C39" s="7">
        <v>5</v>
      </c>
      <c r="D39" s="165">
        <v>6</v>
      </c>
      <c r="E39" s="1"/>
      <c r="F39" s="1"/>
      <c r="G39" s="1"/>
      <c r="H39" s="1"/>
      <c r="I39" s="2"/>
      <c r="J39" s="2"/>
      <c r="K39" s="155">
        <f t="shared" si="15"/>
        <v>11</v>
      </c>
      <c r="L39" s="166">
        <f t="shared" si="12"/>
        <v>1</v>
      </c>
      <c r="M39" s="167">
        <f t="shared" si="12"/>
        <v>9</v>
      </c>
      <c r="N39" s="168">
        <f t="shared" si="12"/>
        <v>18</v>
      </c>
      <c r="O39" s="155"/>
      <c r="P39" s="166">
        <f t="shared" si="13"/>
        <v>-4.6363636363636367</v>
      </c>
      <c r="Q39" s="167">
        <f t="shared" si="13"/>
        <v>4.9090909090909092</v>
      </c>
      <c r="R39" s="168">
        <f t="shared" si="13"/>
        <v>9.8181818181818183</v>
      </c>
      <c r="S39" s="168">
        <f t="shared" si="14"/>
        <v>21.495867768595044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 spans="1:61" ht="13.5" customHeight="1" x14ac:dyDescent="0.25">
      <c r="A40" s="1"/>
      <c r="B40" s="169"/>
      <c r="C40" s="12"/>
      <c r="D40" s="56"/>
      <c r="E40" s="1"/>
      <c r="F40" s="1"/>
      <c r="G40" s="1"/>
      <c r="H40" s="1"/>
      <c r="I40" s="2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</row>
    <row r="41" spans="1:61" ht="13.5" customHeight="1" x14ac:dyDescent="0.25">
      <c r="A41" s="1"/>
      <c r="B41" s="169"/>
      <c r="C41" s="12"/>
      <c r="D41" s="56"/>
      <c r="E41" s="1"/>
      <c r="F41" s="1"/>
      <c r="G41" s="1"/>
      <c r="H41" s="1"/>
      <c r="I41" s="2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 spans="1:61" ht="13.5" customHeight="1" x14ac:dyDescent="0.25">
      <c r="A42" s="1"/>
      <c r="B42" s="169"/>
      <c r="C42" s="12"/>
      <c r="D42" s="56"/>
      <c r="E42" s="1"/>
      <c r="F42" s="1"/>
      <c r="G42" s="1"/>
      <c r="H42" s="1"/>
      <c r="I42" s="2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 spans="1:61" ht="13.5" customHeight="1" x14ac:dyDescent="0.25">
      <c r="A43" s="1"/>
      <c r="B43" s="169"/>
      <c r="C43" s="12"/>
      <c r="D43" s="56"/>
      <c r="E43" s="1"/>
      <c r="F43" s="1"/>
      <c r="G43" s="1"/>
      <c r="H43" s="1"/>
      <c r="I43" s="2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 spans="1:61" ht="13.5" customHeight="1" x14ac:dyDescent="0.25">
      <c r="A44" s="1"/>
      <c r="B44" s="169"/>
      <c r="C44" s="12"/>
      <c r="D44" s="56"/>
      <c r="E44" s="1"/>
      <c r="F44" s="1"/>
      <c r="G44" s="1"/>
      <c r="H44" s="1"/>
      <c r="I44" s="2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 spans="1:61" ht="13.5" customHeight="1" x14ac:dyDescent="0.25">
      <c r="A45" s="1"/>
      <c r="B45" s="169"/>
      <c r="C45" s="12"/>
      <c r="D45" s="56"/>
      <c r="E45" s="1"/>
      <c r="F45" s="1"/>
      <c r="G45" s="1"/>
      <c r="H45" s="1"/>
      <c r="I45" s="2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 spans="1:61" ht="13.5" customHeight="1" x14ac:dyDescent="0.25">
      <c r="A46" s="1"/>
      <c r="B46" s="170"/>
      <c r="C46" s="171"/>
      <c r="D46" s="98"/>
      <c r="E46" s="1"/>
      <c r="F46" s="1"/>
      <c r="G46" s="1"/>
      <c r="H46" s="1"/>
      <c r="I46" s="2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 spans="1:61" ht="13.5" customHeight="1" x14ac:dyDescent="0.25">
      <c r="A47" s="1"/>
      <c r="B47" s="1"/>
      <c r="C47" s="1"/>
      <c r="D47" s="1"/>
      <c r="E47" s="1"/>
      <c r="F47" s="1"/>
      <c r="G47" s="1"/>
      <c r="H47" s="1"/>
      <c r="I47" s="2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 spans="1:61" ht="13.5" customHeight="1" x14ac:dyDescent="0.25">
      <c r="A48" s="1"/>
      <c r="B48" s="1"/>
      <c r="C48" s="1"/>
      <c r="D48" s="1"/>
      <c r="E48" s="1"/>
      <c r="F48" s="1"/>
      <c r="G48" s="1"/>
      <c r="H48" s="1"/>
      <c r="I48" s="2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 spans="1:61" ht="13.5" customHeight="1" x14ac:dyDescent="0.25">
      <c r="A49" s="1"/>
      <c r="B49" s="1"/>
      <c r="C49" s="1"/>
      <c r="D49" s="1"/>
      <c r="E49" s="1"/>
      <c r="F49" s="1"/>
      <c r="G49" s="1"/>
      <c r="H49" s="1"/>
      <c r="I49" s="2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 spans="1:61" ht="13.5" customHeight="1" x14ac:dyDescent="0.25">
      <c r="A50" s="1"/>
      <c r="B50" s="1"/>
      <c r="C50" s="1"/>
      <c r="D50" s="1"/>
      <c r="E50" s="1"/>
      <c r="F50" s="1"/>
      <c r="G50" s="1"/>
      <c r="H50" s="1"/>
      <c r="I50" s="2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 spans="1:61" ht="13.5" customHeight="1" x14ac:dyDescent="0.25">
      <c r="A51" s="1"/>
      <c r="B51" s="1"/>
      <c r="C51" s="1"/>
      <c r="D51" s="1"/>
      <c r="E51" s="1"/>
      <c r="F51" s="1"/>
      <c r="G51" s="1"/>
      <c r="H51" s="1"/>
      <c r="I51" s="2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 spans="1:61" ht="13.5" customHeight="1" x14ac:dyDescent="0.25">
      <c r="A52" s="1"/>
      <c r="B52" s="1"/>
      <c r="C52" s="1"/>
      <c r="D52" s="1"/>
      <c r="E52" s="1"/>
      <c r="F52" s="1"/>
      <c r="G52" s="1"/>
      <c r="H52" s="1"/>
      <c r="I52" s="2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 spans="1:61" ht="13.5" customHeight="1" x14ac:dyDescent="0.25">
      <c r="A53" s="1"/>
      <c r="B53" s="1"/>
      <c r="C53" s="1"/>
      <c r="D53" s="1"/>
      <c r="E53" s="1"/>
      <c r="F53" s="1"/>
      <c r="G53" s="1"/>
      <c r="H53" s="1"/>
      <c r="I53" s="2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 spans="1:61" ht="13.5" customHeight="1" x14ac:dyDescent="0.25">
      <c r="A54" s="1"/>
      <c r="B54" s="1"/>
      <c r="C54" s="1"/>
      <c r="D54" s="1"/>
      <c r="E54" s="1"/>
      <c r="F54" s="1"/>
      <c r="G54" s="1"/>
      <c r="H54" s="1"/>
      <c r="I54" s="2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 spans="1:61" ht="13.5" customHeight="1" x14ac:dyDescent="0.25">
      <c r="A55" s="1"/>
      <c r="B55" s="1"/>
      <c r="C55" s="1"/>
      <c r="D55" s="1"/>
      <c r="E55" s="1"/>
      <c r="F55" s="1"/>
      <c r="G55" s="1"/>
      <c r="H55" s="1"/>
      <c r="I55" s="2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 spans="1:61" ht="13.5" customHeight="1" x14ac:dyDescent="0.25">
      <c r="A56" s="1"/>
      <c r="B56" s="1"/>
      <c r="C56" s="1"/>
      <c r="D56" s="1"/>
      <c r="E56" s="1"/>
      <c r="F56" s="1"/>
      <c r="G56" s="1"/>
      <c r="H56" s="1"/>
      <c r="I56" s="2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 spans="1:61" ht="13.5" customHeight="1" x14ac:dyDescent="0.25">
      <c r="A57" s="1"/>
      <c r="B57" s="1"/>
      <c r="C57" s="1"/>
      <c r="D57" s="1"/>
      <c r="E57" s="1"/>
      <c r="F57" s="1"/>
      <c r="G57" s="1"/>
      <c r="H57" s="1"/>
      <c r="I57" s="2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 spans="1:61" ht="13.5" customHeight="1" x14ac:dyDescent="0.25">
      <c r="A58" s="1"/>
      <c r="B58" s="1"/>
      <c r="C58" s="1"/>
      <c r="D58" s="1"/>
      <c r="E58" s="1"/>
      <c r="F58" s="1"/>
      <c r="G58" s="1"/>
      <c r="H58" s="1"/>
      <c r="I58" s="2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 spans="1:61" ht="13.5" customHeight="1" x14ac:dyDescent="0.25">
      <c r="A59" s="1"/>
      <c r="B59" s="1"/>
      <c r="C59" s="1"/>
      <c r="D59" s="1"/>
      <c r="E59" s="1"/>
      <c r="F59" s="1"/>
      <c r="G59" s="1"/>
      <c r="H59" s="1"/>
      <c r="I59" s="2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 spans="1:61" ht="13.5" customHeight="1" x14ac:dyDescent="0.25">
      <c r="A60" s="1"/>
      <c r="B60" s="1"/>
      <c r="C60" s="1"/>
      <c r="D60" s="1"/>
      <c r="E60" s="1"/>
      <c r="F60" s="1"/>
      <c r="G60" s="1"/>
      <c r="H60" s="1"/>
      <c r="I60" s="2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 spans="1:61" ht="13.5" customHeight="1" x14ac:dyDescent="0.25">
      <c r="A61" s="1"/>
      <c r="B61" s="1"/>
      <c r="C61" s="1"/>
      <c r="D61" s="1"/>
      <c r="E61" s="1"/>
      <c r="F61" s="1"/>
      <c r="G61" s="1"/>
      <c r="H61" s="1"/>
      <c r="I61" s="2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 spans="1:61" ht="13.5" customHeight="1" x14ac:dyDescent="0.25">
      <c r="A62" s="1"/>
      <c r="B62" s="1"/>
      <c r="C62" s="1"/>
      <c r="D62" s="1"/>
      <c r="E62" s="1"/>
      <c r="F62" s="1"/>
      <c r="G62" s="1"/>
      <c r="H62" s="1"/>
      <c r="I62" s="2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</row>
  </sheetData>
  <conditionalFormatting sqref="B6:C16">
    <cfRule type="cellIs" dxfId="2" priority="9" operator="equal">
      <formula>0</formula>
    </cfRule>
  </conditionalFormatting>
  <conditionalFormatting sqref="B22:C32">
    <cfRule type="dataBar" priority="3">
      <dataBar>
        <cfvo type="min"/>
        <cfvo type="max"/>
        <color theme="8"/>
      </dataBar>
      <extLst>
        <ext xmlns:x14="http://schemas.microsoft.com/office/spreadsheetml/2009/9/main" uri="{B025F937-C7B1-47D3-B67F-A62EFF666E3E}">
          <x14:id>{7EECC7EE-8CF6-43FF-8D52-4DD5304C47F4}</x14:id>
        </ext>
      </extLst>
    </cfRule>
  </conditionalFormatting>
  <conditionalFormatting sqref="F6:H16">
    <cfRule type="cellIs" dxfId="1" priority="10" operator="equal">
      <formula>0</formula>
    </cfRule>
  </conditionalFormatting>
  <conditionalFormatting sqref="N6:N16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{55212153-8237-4E8D-9451-0E64C78E4FD9}</x14:id>
        </ext>
      </extLst>
    </cfRule>
  </conditionalFormatting>
  <conditionalFormatting sqref="O17:Q17 K6:M1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{D0DB1081-97AD-425C-B09B-5259431690B8}</x14:id>
        </ext>
      </extLst>
    </cfRule>
  </conditionalFormatting>
  <conditionalFormatting sqref="S6:T1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{70811CBA-EA28-44D7-AF17-6C698BF38D85}</x14:id>
        </ext>
      </extLst>
    </cfRule>
  </conditionalFormatting>
  <conditionalFormatting sqref="U6:U16">
    <cfRule type="cellIs" dxfId="0" priority="8" operator="equal">
      <formula>0</formula>
    </cfRule>
  </conditionalFormatting>
  <conditionalFormatting sqref="W19:Y19">
    <cfRule type="colorScale" priority="7">
      <colorScale>
        <cfvo type="min"/>
        <cfvo type="percentile" val="50"/>
        <cfvo type="max"/>
        <color theme="7" tint="0.79998168889431442"/>
        <color theme="0"/>
        <color theme="5" tint="-0.249977111117893"/>
      </colorScale>
    </cfRule>
  </conditionalFormatting>
  <conditionalFormatting sqref="AB3:AD3">
    <cfRule type="dataBar" priority="5">
      <dataBar>
        <cfvo type="min"/>
        <cfvo type="max"/>
        <color rgb="FF00FF00"/>
      </dataBar>
      <extLst>
        <ext xmlns:x14="http://schemas.microsoft.com/office/spreadsheetml/2009/9/main" uri="{B025F937-C7B1-47D3-B67F-A62EFF666E3E}">
          <x14:id>{8C523097-8067-4D34-A14B-C50EA500147B}</x14:id>
        </ext>
      </extLst>
    </cfRule>
  </conditionalFormatting>
  <conditionalFormatting sqref="AB6:AD6 AD8 AC7:AD7 S18:Y18">
    <cfRule type="dataBar" priority="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{B0840553-8F49-4FC8-BF3C-9E902701CE50}</x14:id>
        </ext>
      </extLst>
    </cfRule>
  </conditionalFormatting>
  <conditionalFormatting sqref="AB12:AD14">
    <cfRule type="dataBar" priority="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{831FB5B8-9D94-4A50-BBBF-1FECC68602C8}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ECC7EE-8CF6-43FF-8D52-4DD5304C47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B22:C32</xm:sqref>
        </x14:conditionalFormatting>
        <x14:conditionalFormatting xmlns:xm="http://schemas.microsoft.com/office/excel/2006/main">
          <x14:cfRule type="dataBar" id="{55212153-8237-4E8D-9451-0E64C78E4F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N6:N16</xm:sqref>
        </x14:conditionalFormatting>
        <x14:conditionalFormatting xmlns:xm="http://schemas.microsoft.com/office/excel/2006/main">
          <x14:cfRule type="dataBar" id="{D0DB1081-97AD-425C-B09B-5259431690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O17:Q17 K6:M16</xm:sqref>
        </x14:conditionalFormatting>
        <x14:conditionalFormatting xmlns:xm="http://schemas.microsoft.com/office/excel/2006/main">
          <x14:cfRule type="dataBar" id="{70811CBA-EA28-44D7-AF17-6C698BF38D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S6:T16</xm:sqref>
        </x14:conditionalFormatting>
        <x14:conditionalFormatting xmlns:xm="http://schemas.microsoft.com/office/excel/2006/main">
          <x14:cfRule type="dataBar" id="{8C523097-8067-4D34-A14B-C50EA500147B}">
            <x14:dataBar minLength="0" maxLength="100" gradient="0">
              <x14:cfvo type="autoMin"/>
              <x14:cfvo type="autoMax"/>
              <x14:negativeFillColor theme="5"/>
              <x14:axisColor rgb="FF000000"/>
            </x14:dataBar>
          </x14:cfRule>
          <xm:sqref>AB3:AD3</xm:sqref>
        </x14:conditionalFormatting>
        <x14:conditionalFormatting xmlns:xm="http://schemas.microsoft.com/office/excel/2006/main">
          <x14:cfRule type="dataBar" id="{B0840553-8F49-4FC8-BF3C-9E902701CE50}">
            <x14:dataBar minLength="0" maxLength="100" gradient="0">
              <x14:cfvo type="autoMin"/>
              <x14:cfvo type="autoMax"/>
              <x14:negativeFillColor rgb="FF2525FF"/>
              <x14:axisColor rgb="FF000000"/>
            </x14:dataBar>
          </x14:cfRule>
          <xm:sqref>AB6:AD6 AD8 AC7:AD7 S18:Y18</xm:sqref>
        </x14:conditionalFormatting>
        <x14:conditionalFormatting xmlns:xm="http://schemas.microsoft.com/office/excel/2006/main">
          <x14:cfRule type="dataBar" id="{831FB5B8-9D94-4A50-BBBF-1FECC68602C8}">
            <x14:dataBar minLength="0" maxLength="100" gradient="0">
              <x14:cfvo type="autoMin"/>
              <x14:cfvo type="autoMax"/>
              <x14:negativeFillColor rgb="FF2525FF"/>
              <x14:axisColor rgb="FF000000"/>
            </x14:dataBar>
          </x14:cfRule>
          <xm:sqref>AB12:AD14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2025-10-08T20:25:43Z</dcterms:created>
  <dcterms:modified xsi:type="dcterms:W3CDTF">2026-06-03T11:16:38Z</dcterms:modified>
</cp:coreProperties>
</file>